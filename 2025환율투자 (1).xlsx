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달러" sheetId="1" r:id="rId4"/>
    <sheet state="visible" name="엔" sheetId="2" r:id="rId5"/>
    <sheet state="visible" name="종합시트" sheetId="3" r:id="rId6"/>
    <sheet state="visible" name="투자가늠자" sheetId="4" r:id="rId7"/>
  </sheets>
  <definedNames>
    <definedName hidden="1" localSheetId="1" name="_xlnm._FilterDatabase">'엔'!$A$1:$L$97</definedName>
  </definedNames>
  <calcPr/>
</workbook>
</file>

<file path=xl/sharedStrings.xml><?xml version="1.0" encoding="utf-8"?>
<sst xmlns="http://schemas.openxmlformats.org/spreadsheetml/2006/main" count="481" uniqueCount="206">
  <si>
    <t>투자별칭</t>
  </si>
  <si>
    <t>날짜</t>
  </si>
  <si>
    <t>구입달러</t>
  </si>
  <si>
    <t>환율(원)</t>
  </si>
  <si>
    <t>예상매도환율</t>
  </si>
  <si>
    <t>예상이익</t>
  </si>
  <si>
    <t>매도일</t>
  </si>
  <si>
    <t>실제매도환율</t>
  </si>
  <si>
    <t>실현수익</t>
  </si>
  <si>
    <t>투자액</t>
  </si>
  <si>
    <t>2025.2.11.</t>
  </si>
  <si>
    <t>기준환율</t>
  </si>
  <si>
    <t>2월달</t>
  </si>
  <si>
    <t>2025.2.14.</t>
  </si>
  <si>
    <t>2025.2.15.</t>
  </si>
  <si>
    <t>2025.2.16.</t>
  </si>
  <si>
    <t>2025.2.17.</t>
  </si>
  <si>
    <t>2025.2.18.</t>
  </si>
  <si>
    <t>2025.2.20.</t>
  </si>
  <si>
    <t>2025.2.21.</t>
  </si>
  <si>
    <t>2025.2.22.</t>
  </si>
  <si>
    <t>2025.2.24.</t>
  </si>
  <si>
    <t>2025.2.25.</t>
  </si>
  <si>
    <t>2025.2.26.</t>
  </si>
  <si>
    <t>2025.2.27.</t>
  </si>
  <si>
    <t>2025.3.15.</t>
  </si>
  <si>
    <t>3~6월</t>
  </si>
  <si>
    <t>2025.3.17.</t>
  </si>
  <si>
    <t>2025.3.18.</t>
  </si>
  <si>
    <t>2025.3.19.</t>
  </si>
  <si>
    <t>2025.4.4.</t>
  </si>
  <si>
    <t>2025.4.4</t>
  </si>
  <si>
    <t>2025.4.10</t>
  </si>
  <si>
    <t>2025.4.11.</t>
  </si>
  <si>
    <t>2025.4.12.</t>
  </si>
  <si>
    <t>2025.4.14.</t>
  </si>
  <si>
    <t>2025.4.15.</t>
  </si>
  <si>
    <t>2025.4.16.</t>
  </si>
  <si>
    <t>2025.4.18.</t>
  </si>
  <si>
    <t>2025.4.21.</t>
  </si>
  <si>
    <t>2025.4.22.</t>
  </si>
  <si>
    <t>2025.4.29.</t>
  </si>
  <si>
    <t>2025.4.28.</t>
  </si>
  <si>
    <t>2025.4.30.</t>
  </si>
  <si>
    <t>2025.5.2.</t>
  </si>
  <si>
    <t>2025.5.1.</t>
  </si>
  <si>
    <t>2025.5.3.</t>
  </si>
  <si>
    <t>2025.5.12.</t>
  </si>
  <si>
    <t>2025.5.5.</t>
  </si>
  <si>
    <t>2025.5.5</t>
  </si>
  <si>
    <t>2025.5.9.</t>
  </si>
  <si>
    <t>2025.5.6.</t>
  </si>
  <si>
    <t>2025.5.7.</t>
  </si>
  <si>
    <t>2025.5.8</t>
  </si>
  <si>
    <t>2025.5.10.</t>
  </si>
  <si>
    <t>2025.5.11.</t>
  </si>
  <si>
    <t>2025.5.13.</t>
  </si>
  <si>
    <t>2025.5.14.</t>
  </si>
  <si>
    <t>2025.3.1</t>
  </si>
  <si>
    <t>2025.6.16</t>
  </si>
  <si>
    <t>2025.6.1</t>
  </si>
  <si>
    <t>2025.6.19</t>
  </si>
  <si>
    <t>2025.6.20</t>
  </si>
  <si>
    <t>2025.6.23</t>
  </si>
  <si>
    <t>2025.6.22</t>
  </si>
  <si>
    <t>2025.6.21</t>
  </si>
  <si>
    <t>2025.6.24</t>
  </si>
  <si>
    <t>2025.7.8</t>
  </si>
  <si>
    <t>2025.7.7</t>
  </si>
  <si>
    <t>2025.6.25</t>
  </si>
  <si>
    <t>2025.6.26</t>
  </si>
  <si>
    <t>2025.6.28</t>
  </si>
  <si>
    <t>2025.6.27</t>
  </si>
  <si>
    <t>2025.7.3</t>
  </si>
  <si>
    <t>2025.6.29</t>
  </si>
  <si>
    <t>2025.6.30</t>
  </si>
  <si>
    <t>2025.7.1</t>
  </si>
  <si>
    <t>2025.7.2</t>
  </si>
  <si>
    <t>2025.7.4</t>
  </si>
  <si>
    <t>2025.7.5</t>
  </si>
  <si>
    <t>2025.7.9</t>
  </si>
  <si>
    <t>2025.7.14</t>
  </si>
  <si>
    <t>2025.7.10</t>
  </si>
  <si>
    <t>2025.7.11</t>
  </si>
  <si>
    <t>2025.7.13</t>
  </si>
  <si>
    <t>2025.7.15</t>
  </si>
  <si>
    <t>2025.7.16</t>
  </si>
  <si>
    <t>2025.7.17</t>
  </si>
  <si>
    <t>2025.7.18</t>
  </si>
  <si>
    <t>2025.8.1</t>
  </si>
  <si>
    <t>2025.7.21</t>
  </si>
  <si>
    <t>2025.7.22</t>
  </si>
  <si>
    <t>2025.7.29</t>
  </si>
  <si>
    <t>2025.7.23</t>
  </si>
  <si>
    <t>2025.7.24</t>
  </si>
  <si>
    <t>2025.7.31</t>
  </si>
  <si>
    <t>2025.8.2</t>
  </si>
  <si>
    <t>2025.8.20</t>
  </si>
  <si>
    <t>2025.8.4</t>
  </si>
  <si>
    <t>2025.8.5</t>
  </si>
  <si>
    <t>2025.8.6</t>
  </si>
  <si>
    <t>2025.8.7</t>
  </si>
  <si>
    <t>2025.8.8</t>
  </si>
  <si>
    <t>2025.8.9</t>
  </si>
  <si>
    <t>2025.8.11</t>
  </si>
  <si>
    <t>2025.8.12</t>
  </si>
  <si>
    <t>2025.8.13</t>
  </si>
  <si>
    <t>2025.8.15</t>
  </si>
  <si>
    <t>2025.8.14</t>
  </si>
  <si>
    <t>2025.8.18</t>
  </si>
  <si>
    <t>2025.8.19</t>
  </si>
  <si>
    <t>2025.8.21</t>
  </si>
  <si>
    <t>2025.8.22</t>
  </si>
  <si>
    <t>2025.9.25</t>
  </si>
  <si>
    <t>2025.8.23</t>
  </si>
  <si>
    <t>2025.8.26</t>
  </si>
  <si>
    <t>2025.8.25</t>
  </si>
  <si>
    <t>2025.8.27</t>
  </si>
  <si>
    <t>2025.8.28</t>
  </si>
  <si>
    <t>2025.9.2</t>
  </si>
  <si>
    <t>2025.9.1</t>
  </si>
  <si>
    <t>2025.8.29</t>
  </si>
  <si>
    <t>2025.8.30</t>
  </si>
  <si>
    <t>2025.9.3</t>
  </si>
  <si>
    <t>2025.9.24</t>
  </si>
  <si>
    <t>2025.9.5</t>
  </si>
  <si>
    <t>2025.9.6</t>
  </si>
  <si>
    <t>2025.9.19</t>
  </si>
  <si>
    <t>2025.9.8</t>
  </si>
  <si>
    <t>2025.9.20</t>
  </si>
  <si>
    <t>2025.9.9</t>
  </si>
  <si>
    <t>2025.9.11</t>
  </si>
  <si>
    <t>2025.9.10</t>
  </si>
  <si>
    <t>2025.9.12</t>
  </si>
  <si>
    <t>2025.9.13</t>
  </si>
  <si>
    <t>2025.9.14</t>
  </si>
  <si>
    <t>2025.9.15</t>
  </si>
  <si>
    <t>2025.9.16</t>
  </si>
  <si>
    <t>2025.9.18</t>
  </si>
  <si>
    <t>2025.9.17</t>
  </si>
  <si>
    <t>2025.9.22</t>
  </si>
  <si>
    <t>2025.9.23</t>
  </si>
  <si>
    <t>2025.9.26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</si>
  <si>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</si>
  <si>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</si>
  <si>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</si>
  <si>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</si>
  <si>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</si>
  <si>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</si>
  <si>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</si>
  <si>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</si>
  <si>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</si>
  <si>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</si>
  <si>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</si>
  <si>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</si>
  <si>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구입앤</t>
  </si>
  <si>
    <t>투자기간</t>
  </si>
  <si>
    <t>연이율</t>
  </si>
  <si>
    <t>2025.2.12.</t>
  </si>
  <si>
    <t>#13</t>
  </si>
  <si>
    <t>#14</t>
  </si>
  <si>
    <t>#15</t>
  </si>
  <si>
    <t>#16</t>
  </si>
  <si>
    <t>#17</t>
  </si>
  <si>
    <t>#18</t>
  </si>
  <si>
    <t>2025-12.5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</si>
  <si>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</si>
  <si>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</si>
  <si>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</si>
  <si>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</si>
  <si>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</si>
  <si>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</si>
  <si>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</si>
  <si>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</si>
  <si>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</si>
  <si>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기준날짜</t>
  </si>
  <si>
    <t>투자가능액</t>
  </si>
  <si>
    <t>분산</t>
  </si>
  <si>
    <t>투자내용</t>
  </si>
  <si>
    <t>비율</t>
  </si>
  <si>
    <t>영역별투자가능액</t>
  </si>
  <si>
    <t>10%투자시</t>
  </si>
  <si>
    <t>현재환율</t>
  </si>
  <si>
    <t>분산투자액</t>
  </si>
  <si>
    <t>매매조건</t>
  </si>
  <si>
    <t>달러투자</t>
  </si>
  <si>
    <t>500달러</t>
  </si>
  <si>
    <t>환율 6원이상상승시</t>
  </si>
  <si>
    <t>엔화투자</t>
  </si>
  <si>
    <t>500엔</t>
  </si>
  <si>
    <t>달러</t>
  </si>
  <si>
    <t>최저</t>
  </si>
  <si>
    <t>최고</t>
  </si>
  <si>
    <t>환율중간가</t>
  </si>
  <si>
    <t>600달러</t>
  </si>
  <si>
    <t>잔액</t>
  </si>
  <si>
    <t>60000엔</t>
  </si>
  <si>
    <t>합계</t>
  </si>
  <si>
    <t>추가</t>
  </si>
  <si>
    <t>중간가</t>
  </si>
  <si>
    <t>달러지수</t>
  </si>
  <si>
    <t>달러갭비율평균가</t>
  </si>
  <si>
    <t>적정환율</t>
  </si>
  <si>
    <t>엔</t>
  </si>
  <si>
    <t>네이버달러인덱스</t>
  </si>
  <si>
    <t>엔화지수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</si>
</sst>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₩-412]#,##0.00"/>
    <numFmt numFmtId="165" formatCode="yyyy-mm-dd"/>
    <numFmt numFmtId="166" formatCode="yyyy-m-d"/>
    <numFmt numFmtId="167" formatCode="yyyy. M. d"/>
    <numFmt numFmtId="168" formatCode="yyyy&quot;. &quot;m&quot;. &quot;d&quot; &quot;am/pm&quot; &quot;h&quot;:&quot;mm&quot;:&quot;ss"/>
    <numFmt numFmtId="169" formatCode="[$₩-412]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1" numFmtId="4" xfId="0" applyAlignment="1" applyFill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2" numFmtId="0" xfId="0" applyFont="1"/>
    <xf borderId="0" fillId="0" fontId="1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2" numFmtId="169" xfId="0" applyAlignment="1" applyFont="1" applyNumberFormat="1">
      <alignment readingOrder="0"/>
    </xf>
    <xf borderId="0" fillId="0" fontId="2" numFmtId="169" xfId="0" applyFont="1" applyNumberFormat="1"/>
    <xf borderId="0" fillId="0" fontId="2" numFmtId="10" xfId="0" applyFont="1" applyNumberForma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9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169" xfId="0" applyBorder="1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0.88"/>
    <col customWidth="1" min="3" max="3" width="7.13"/>
    <col customWidth="1" min="4" max="4" width="8.38"/>
    <col customWidth="1" min="5" max="5" width="9.5"/>
    <col customWidth="1" min="6" max="6" width="7.13"/>
    <col customWidth="1" min="7" max="7" width="10.13"/>
    <col customWidth="1" min="8" max="8" width="10.25"/>
    <col customWidth="1" min="9" max="9" width="9.13"/>
    <col customWidth="1" min="10" max="10" width="8.5"/>
    <col customWidth="1" min="11" max="11" width="8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4"/>
      <c r="P1" s="3"/>
      <c r="Q1" s="3"/>
      <c r="R1" s="1">
        <v>1420.0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2"/>
      <c r="B2" s="2" t="s">
        <v>10</v>
      </c>
      <c r="C2" s="5">
        <v>70.0</v>
      </c>
      <c r="D2" s="6">
        <v>1452.07</v>
      </c>
      <c r="E2" s="7">
        <f t="shared" ref="E2:E52" si="1">D2+10</f>
        <v>1462.07</v>
      </c>
      <c r="F2" s="5">
        <f t="shared" ref="F2:F318" si="2">(E2-D2)*C2</f>
        <v>700</v>
      </c>
      <c r="G2" s="3"/>
      <c r="H2" s="5">
        <v>1460.99</v>
      </c>
      <c r="I2" s="8">
        <f t="shared" ref="I2:I477" si="3">if((H2-D2)*C2&gt;0,(H2-D2)*C2,0)</f>
        <v>624.4</v>
      </c>
      <c r="J2" s="2" t="s">
        <v>11</v>
      </c>
      <c r="K2" s="2" t="s">
        <v>12</v>
      </c>
      <c r="L2" s="3"/>
      <c r="M2" s="3"/>
      <c r="N2" s="3"/>
      <c r="O2" s="4">
        <f t="shared" ref="O2:O177" si="4">C2*D2</f>
        <v>101644.9</v>
      </c>
      <c r="P2" s="3">
        <f t="shared" ref="P2:P20" si="5">H2*C2</f>
        <v>102269.3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2"/>
      <c r="B3" s="2" t="s">
        <v>13</v>
      </c>
      <c r="C3" s="5">
        <v>70.0</v>
      </c>
      <c r="D3" s="5">
        <v>1444.66</v>
      </c>
      <c r="E3" s="8">
        <f t="shared" si="1"/>
        <v>1454.66</v>
      </c>
      <c r="F3" s="5">
        <f t="shared" si="2"/>
        <v>700</v>
      </c>
      <c r="G3" s="3"/>
      <c r="H3" s="5">
        <v>1460.99</v>
      </c>
      <c r="I3" s="8">
        <f t="shared" si="3"/>
        <v>1143.1</v>
      </c>
      <c r="J3" s="3"/>
      <c r="K3" s="3"/>
      <c r="L3" s="3"/>
      <c r="M3" s="3"/>
      <c r="N3" s="3"/>
      <c r="O3" s="4">
        <f t="shared" si="4"/>
        <v>101126.2</v>
      </c>
      <c r="P3" s="3">
        <f t="shared" si="5"/>
        <v>102269.3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2"/>
      <c r="B4" s="2" t="s">
        <v>14</v>
      </c>
      <c r="C4" s="5">
        <v>70.0</v>
      </c>
      <c r="D4" s="5">
        <v>1443.91</v>
      </c>
      <c r="E4" s="8">
        <f t="shared" si="1"/>
        <v>1453.91</v>
      </c>
      <c r="F4" s="5">
        <f t="shared" si="2"/>
        <v>700</v>
      </c>
      <c r="G4" s="3"/>
      <c r="H4" s="5">
        <v>1460.99</v>
      </c>
      <c r="I4" s="8">
        <f t="shared" si="3"/>
        <v>1195.6</v>
      </c>
      <c r="J4" s="3"/>
      <c r="K4" s="3"/>
      <c r="L4" s="3"/>
      <c r="M4" s="3"/>
      <c r="N4" s="3"/>
      <c r="O4" s="4">
        <f t="shared" si="4"/>
        <v>101073.7</v>
      </c>
      <c r="P4" s="3">
        <f t="shared" si="5"/>
        <v>102269.3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"/>
      <c r="B5" s="2" t="s">
        <v>15</v>
      </c>
      <c r="C5" s="5">
        <v>70.0</v>
      </c>
      <c r="D5" s="5">
        <v>1443.42</v>
      </c>
      <c r="E5" s="8">
        <f t="shared" si="1"/>
        <v>1453.42</v>
      </c>
      <c r="F5" s="5">
        <f t="shared" si="2"/>
        <v>700</v>
      </c>
      <c r="G5" s="3"/>
      <c r="H5" s="5">
        <v>1460.99</v>
      </c>
      <c r="I5" s="8">
        <f t="shared" si="3"/>
        <v>1229.9</v>
      </c>
      <c r="J5" s="3"/>
      <c r="K5" s="3"/>
      <c r="L5" s="3"/>
      <c r="M5" s="3"/>
      <c r="N5" s="3"/>
      <c r="O5" s="4">
        <f t="shared" si="4"/>
        <v>101039.4</v>
      </c>
      <c r="P5" s="3">
        <f t="shared" si="5"/>
        <v>102269.3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"/>
      <c r="B6" s="2" t="s">
        <v>16</v>
      </c>
      <c r="C6" s="5">
        <v>70.0</v>
      </c>
      <c r="D6" s="5">
        <v>1441.45</v>
      </c>
      <c r="E6" s="8">
        <f t="shared" si="1"/>
        <v>1451.45</v>
      </c>
      <c r="F6" s="5">
        <f t="shared" si="2"/>
        <v>700</v>
      </c>
      <c r="G6" s="3"/>
      <c r="H6" s="5">
        <v>1460.99</v>
      </c>
      <c r="I6" s="8">
        <f t="shared" si="3"/>
        <v>1367.8</v>
      </c>
      <c r="J6" s="3"/>
      <c r="K6" s="3"/>
      <c r="L6" s="3"/>
      <c r="M6" s="3"/>
      <c r="N6" s="3"/>
      <c r="O6" s="4">
        <f t="shared" si="4"/>
        <v>100901.5</v>
      </c>
      <c r="P6" s="3">
        <f t="shared" si="5"/>
        <v>102269.3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"/>
      <c r="B7" s="2" t="s">
        <v>17</v>
      </c>
      <c r="C7" s="5">
        <v>70.0</v>
      </c>
      <c r="D7" s="5">
        <v>1442.49</v>
      </c>
      <c r="E7" s="8">
        <f t="shared" si="1"/>
        <v>1452.49</v>
      </c>
      <c r="F7" s="5">
        <f t="shared" si="2"/>
        <v>700</v>
      </c>
      <c r="G7" s="3"/>
      <c r="H7" s="5">
        <v>1460.99</v>
      </c>
      <c r="I7" s="8">
        <f t="shared" si="3"/>
        <v>1295</v>
      </c>
      <c r="J7" s="3"/>
      <c r="K7" s="3"/>
      <c r="L7" s="3"/>
      <c r="M7" s="3"/>
      <c r="N7" s="3"/>
      <c r="O7" s="4">
        <f t="shared" si="4"/>
        <v>100974.3</v>
      </c>
      <c r="P7" s="3">
        <f t="shared" si="5"/>
        <v>102269.3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"/>
      <c r="B8" s="2" t="s">
        <v>18</v>
      </c>
      <c r="C8" s="5">
        <v>70.0</v>
      </c>
      <c r="D8" s="5">
        <v>1438.76</v>
      </c>
      <c r="E8" s="8">
        <f t="shared" si="1"/>
        <v>1448.76</v>
      </c>
      <c r="F8" s="5">
        <f t="shared" si="2"/>
        <v>700</v>
      </c>
      <c r="G8" s="3"/>
      <c r="H8" s="5">
        <v>1460.99</v>
      </c>
      <c r="I8" s="8">
        <f t="shared" si="3"/>
        <v>1556.1</v>
      </c>
      <c r="J8" s="3"/>
      <c r="K8" s="3"/>
      <c r="L8" s="3"/>
      <c r="M8" s="3"/>
      <c r="N8" s="3"/>
      <c r="O8" s="4">
        <f t="shared" si="4"/>
        <v>100713.2</v>
      </c>
      <c r="P8" s="3">
        <f t="shared" si="5"/>
        <v>102269.3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"/>
      <c r="B9" s="2" t="s">
        <v>19</v>
      </c>
      <c r="C9" s="5">
        <v>70.0</v>
      </c>
      <c r="D9" s="5">
        <v>1434.75</v>
      </c>
      <c r="E9" s="8">
        <f t="shared" si="1"/>
        <v>1444.75</v>
      </c>
      <c r="F9" s="5">
        <f t="shared" si="2"/>
        <v>700</v>
      </c>
      <c r="G9" s="3"/>
      <c r="H9" s="5">
        <v>1460.99</v>
      </c>
      <c r="I9" s="8">
        <f t="shared" si="3"/>
        <v>1836.8</v>
      </c>
      <c r="J9" s="3"/>
      <c r="K9" s="3"/>
      <c r="L9" s="3"/>
      <c r="M9" s="3"/>
      <c r="N9" s="3"/>
      <c r="O9" s="4">
        <f t="shared" si="4"/>
        <v>100432.5</v>
      </c>
      <c r="P9" s="3">
        <f t="shared" si="5"/>
        <v>102269.3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"/>
      <c r="B10" s="2" t="s">
        <v>20</v>
      </c>
      <c r="C10" s="5">
        <v>70.0</v>
      </c>
      <c r="D10" s="5">
        <v>1436.4</v>
      </c>
      <c r="E10" s="8">
        <f t="shared" si="1"/>
        <v>1446.4</v>
      </c>
      <c r="F10" s="5">
        <f t="shared" si="2"/>
        <v>700</v>
      </c>
      <c r="G10" s="3"/>
      <c r="H10" s="5">
        <v>1460.99</v>
      </c>
      <c r="I10" s="8">
        <f t="shared" si="3"/>
        <v>1721.3</v>
      </c>
      <c r="J10" s="3"/>
      <c r="K10" s="3"/>
      <c r="L10" s="3"/>
      <c r="M10" s="3"/>
      <c r="N10" s="3"/>
      <c r="O10" s="4">
        <f t="shared" si="4"/>
        <v>100548</v>
      </c>
      <c r="P10" s="3">
        <f t="shared" si="5"/>
        <v>102269.3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"/>
      <c r="B11" s="2" t="s">
        <v>21</v>
      </c>
      <c r="C11" s="5">
        <v>70.0</v>
      </c>
      <c r="D11" s="5">
        <v>1426.27</v>
      </c>
      <c r="E11" s="8">
        <f t="shared" si="1"/>
        <v>1436.27</v>
      </c>
      <c r="F11" s="5">
        <f t="shared" si="2"/>
        <v>700</v>
      </c>
      <c r="G11" s="3"/>
      <c r="H11" s="5">
        <v>1460.99</v>
      </c>
      <c r="I11" s="8">
        <f t="shared" si="3"/>
        <v>2430.4</v>
      </c>
      <c r="J11" s="3"/>
      <c r="K11" s="3"/>
      <c r="L11" s="3"/>
      <c r="M11" s="3"/>
      <c r="N11" s="3"/>
      <c r="O11" s="4">
        <f t="shared" si="4"/>
        <v>99838.9</v>
      </c>
      <c r="P11" s="3">
        <f t="shared" si="5"/>
        <v>102269.3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"/>
      <c r="B12" s="2" t="s">
        <v>22</v>
      </c>
      <c r="C12" s="5">
        <v>70.0</v>
      </c>
      <c r="D12" s="5">
        <v>1431.81</v>
      </c>
      <c r="E12" s="8">
        <f t="shared" si="1"/>
        <v>1441.81</v>
      </c>
      <c r="F12" s="5">
        <f t="shared" si="2"/>
        <v>700</v>
      </c>
      <c r="G12" s="3"/>
      <c r="H12" s="5">
        <v>1460.99</v>
      </c>
      <c r="I12" s="8">
        <f t="shared" si="3"/>
        <v>2042.6</v>
      </c>
      <c r="J12" s="3"/>
      <c r="K12" s="3"/>
      <c r="L12" s="3"/>
      <c r="M12" s="3"/>
      <c r="N12" s="3"/>
      <c r="O12" s="4">
        <f t="shared" si="4"/>
        <v>100226.7</v>
      </c>
      <c r="P12" s="3">
        <f t="shared" si="5"/>
        <v>102269.3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"/>
      <c r="B13" s="2" t="s">
        <v>23</v>
      </c>
      <c r="C13" s="5">
        <v>70.0</v>
      </c>
      <c r="D13" s="5">
        <v>1432.1</v>
      </c>
      <c r="E13" s="8">
        <f t="shared" si="1"/>
        <v>1442.1</v>
      </c>
      <c r="F13" s="5">
        <f t="shared" si="2"/>
        <v>700</v>
      </c>
      <c r="G13" s="3"/>
      <c r="H13" s="5">
        <v>1460.99</v>
      </c>
      <c r="I13" s="8">
        <f t="shared" si="3"/>
        <v>2022.3</v>
      </c>
      <c r="J13" s="3"/>
      <c r="K13" s="3"/>
      <c r="L13" s="3"/>
      <c r="M13" s="3"/>
      <c r="N13" s="3"/>
      <c r="O13" s="4">
        <f t="shared" si="4"/>
        <v>100247</v>
      </c>
      <c r="P13" s="3">
        <f t="shared" si="5"/>
        <v>102269.3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"/>
      <c r="B14" s="2" t="s">
        <v>24</v>
      </c>
      <c r="C14" s="5">
        <v>70.0</v>
      </c>
      <c r="D14" s="5">
        <v>1434.04</v>
      </c>
      <c r="E14" s="8">
        <f t="shared" si="1"/>
        <v>1444.04</v>
      </c>
      <c r="F14" s="5">
        <f t="shared" si="2"/>
        <v>700</v>
      </c>
      <c r="G14" s="3"/>
      <c r="H14" s="5">
        <v>1460.99</v>
      </c>
      <c r="I14" s="8">
        <f t="shared" si="3"/>
        <v>1886.5</v>
      </c>
      <c r="J14" s="3"/>
      <c r="K14" s="3"/>
      <c r="L14" s="3"/>
      <c r="M14" s="3"/>
      <c r="N14" s="3"/>
      <c r="O14" s="4">
        <f t="shared" si="4"/>
        <v>100382.8</v>
      </c>
      <c r="P14" s="3">
        <f t="shared" si="5"/>
        <v>102269.3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"/>
      <c r="B15" s="2" t="s">
        <v>25</v>
      </c>
      <c r="C15" s="5">
        <v>140.0</v>
      </c>
      <c r="D15" s="9">
        <v>1453.97</v>
      </c>
      <c r="E15" s="8">
        <f t="shared" si="1"/>
        <v>1463.97</v>
      </c>
      <c r="F15" s="5">
        <f t="shared" si="2"/>
        <v>1400</v>
      </c>
      <c r="G15" s="2"/>
      <c r="H15" s="5">
        <v>1469.44</v>
      </c>
      <c r="I15" s="8">
        <f t="shared" si="3"/>
        <v>2165.8</v>
      </c>
      <c r="J15" s="2" t="s">
        <v>11</v>
      </c>
      <c r="K15" s="2" t="s">
        <v>26</v>
      </c>
      <c r="L15" s="3"/>
      <c r="M15" s="3"/>
      <c r="N15" s="3"/>
      <c r="O15" s="4">
        <f t="shared" si="4"/>
        <v>203555.8</v>
      </c>
      <c r="P15" s="3">
        <f t="shared" si="5"/>
        <v>205721.6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"/>
      <c r="B16" s="2" t="s">
        <v>27</v>
      </c>
      <c r="C16" s="5">
        <v>140.0</v>
      </c>
      <c r="D16" s="5">
        <v>1446.12</v>
      </c>
      <c r="E16" s="8">
        <f t="shared" si="1"/>
        <v>1456.12</v>
      </c>
      <c r="F16" s="5">
        <f t="shared" si="2"/>
        <v>1400</v>
      </c>
      <c r="G16" s="2"/>
      <c r="H16" s="5">
        <v>1457.58</v>
      </c>
      <c r="I16" s="8">
        <f t="shared" si="3"/>
        <v>1604.4</v>
      </c>
      <c r="J16" s="3"/>
      <c r="K16" s="3"/>
      <c r="L16" s="3"/>
      <c r="M16" s="3"/>
      <c r="N16" s="3"/>
      <c r="O16" s="4">
        <f t="shared" si="4"/>
        <v>202456.8</v>
      </c>
      <c r="P16" s="3">
        <f t="shared" si="5"/>
        <v>204061.2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"/>
      <c r="B17" s="2" t="s">
        <v>28</v>
      </c>
      <c r="C17" s="5">
        <v>140.0</v>
      </c>
      <c r="D17" s="5">
        <v>1442.93</v>
      </c>
      <c r="E17" s="8">
        <f t="shared" si="1"/>
        <v>1452.93</v>
      </c>
      <c r="F17" s="5">
        <f t="shared" si="2"/>
        <v>1400</v>
      </c>
      <c r="G17" s="2"/>
      <c r="H17" s="5">
        <v>1453.21</v>
      </c>
      <c r="I17" s="8">
        <f t="shared" si="3"/>
        <v>1439.2</v>
      </c>
      <c r="J17" s="3"/>
      <c r="K17" s="3"/>
      <c r="L17" s="3"/>
      <c r="M17" s="3"/>
      <c r="N17" s="3"/>
      <c r="O17" s="4">
        <f t="shared" si="4"/>
        <v>202010.2</v>
      </c>
      <c r="P17" s="3">
        <f t="shared" si="5"/>
        <v>203449.4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"/>
      <c r="B18" s="2" t="s">
        <v>29</v>
      </c>
      <c r="C18" s="5">
        <v>140.0</v>
      </c>
      <c r="D18" s="5">
        <v>1449.89</v>
      </c>
      <c r="E18" s="8">
        <f t="shared" si="1"/>
        <v>1459.89</v>
      </c>
      <c r="F18" s="5">
        <f t="shared" si="2"/>
        <v>1400</v>
      </c>
      <c r="G18" s="2"/>
      <c r="H18" s="5">
        <v>1469.44</v>
      </c>
      <c r="I18" s="8">
        <f t="shared" si="3"/>
        <v>2737</v>
      </c>
      <c r="J18" s="3"/>
      <c r="K18" s="3"/>
      <c r="L18" s="3"/>
      <c r="M18" s="3"/>
      <c r="N18" s="3"/>
      <c r="O18" s="4">
        <f t="shared" si="4"/>
        <v>202984.6</v>
      </c>
      <c r="P18" s="3">
        <f t="shared" si="5"/>
        <v>205721.6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"/>
      <c r="B19" s="2" t="s">
        <v>30</v>
      </c>
      <c r="C19" s="5">
        <v>210.0</v>
      </c>
      <c r="D19" s="5">
        <v>1444.73</v>
      </c>
      <c r="E19" s="8">
        <f t="shared" si="1"/>
        <v>1454.73</v>
      </c>
      <c r="F19" s="5">
        <f t="shared" si="2"/>
        <v>2100</v>
      </c>
      <c r="G19" s="2"/>
      <c r="H19" s="5">
        <v>1459.2</v>
      </c>
      <c r="I19" s="8">
        <f t="shared" si="3"/>
        <v>3038.7</v>
      </c>
      <c r="J19" s="3"/>
      <c r="K19" s="3"/>
      <c r="L19" s="3"/>
      <c r="M19" s="3"/>
      <c r="N19" s="3"/>
      <c r="O19" s="4">
        <f t="shared" si="4"/>
        <v>303393.3</v>
      </c>
      <c r="P19" s="3">
        <f t="shared" si="5"/>
        <v>306432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"/>
      <c r="B20" s="2" t="s">
        <v>31</v>
      </c>
      <c r="C20" s="5">
        <v>210.0</v>
      </c>
      <c r="D20" s="5">
        <v>1434.58</v>
      </c>
      <c r="E20" s="8">
        <f t="shared" si="1"/>
        <v>1444.58</v>
      </c>
      <c r="F20" s="5">
        <f t="shared" si="2"/>
        <v>2100</v>
      </c>
      <c r="G20" s="2"/>
      <c r="H20" s="5">
        <v>1459.2</v>
      </c>
      <c r="I20" s="8">
        <f t="shared" si="3"/>
        <v>5170.2</v>
      </c>
      <c r="J20" s="3"/>
      <c r="K20" s="3"/>
      <c r="L20" s="3"/>
      <c r="M20" s="3"/>
      <c r="N20" s="3"/>
      <c r="O20" s="4">
        <f t="shared" si="4"/>
        <v>301261.8</v>
      </c>
      <c r="P20" s="3">
        <f t="shared" si="5"/>
        <v>306432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"/>
      <c r="B21" s="2" t="s">
        <v>32</v>
      </c>
      <c r="C21" s="10">
        <v>104.0</v>
      </c>
      <c r="D21" s="9">
        <v>1454.9</v>
      </c>
      <c r="E21" s="8">
        <f t="shared" si="1"/>
        <v>1464.9</v>
      </c>
      <c r="F21" s="5">
        <f t="shared" si="2"/>
        <v>1040</v>
      </c>
      <c r="G21" s="3"/>
      <c r="H21" s="1">
        <v>1465.46</v>
      </c>
      <c r="I21" s="8">
        <f t="shared" si="3"/>
        <v>1098.24</v>
      </c>
      <c r="J21" s="2" t="s">
        <v>11</v>
      </c>
      <c r="K21" s="3"/>
      <c r="L21" s="3"/>
      <c r="M21" s="3"/>
      <c r="N21" s="3"/>
      <c r="O21" s="4">
        <f t="shared" si="4"/>
        <v>151309.6</v>
      </c>
      <c r="P21" s="3">
        <f t="shared" ref="P21:P22" si="6">C21*$R$1</f>
        <v>147680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"/>
      <c r="B22" s="2" t="s">
        <v>33</v>
      </c>
      <c r="C22" s="5">
        <v>280.0</v>
      </c>
      <c r="D22" s="5">
        <v>1450.66</v>
      </c>
      <c r="E22" s="8">
        <f t="shared" si="1"/>
        <v>1460.66</v>
      </c>
      <c r="F22" s="5">
        <f t="shared" si="2"/>
        <v>2800</v>
      </c>
      <c r="G22" s="3"/>
      <c r="H22" s="1">
        <v>1456.47</v>
      </c>
      <c r="I22" s="8">
        <f t="shared" si="3"/>
        <v>1626.8</v>
      </c>
      <c r="J22" s="3"/>
      <c r="K22" s="3"/>
      <c r="L22" s="3"/>
      <c r="M22" s="3"/>
      <c r="N22" s="3"/>
      <c r="O22" s="4">
        <f t="shared" si="4"/>
        <v>406184.8</v>
      </c>
      <c r="P22" s="3">
        <f t="shared" si="6"/>
        <v>397600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"/>
      <c r="B23" s="2" t="s">
        <v>33</v>
      </c>
      <c r="C23" s="5">
        <v>280.0</v>
      </c>
      <c r="D23" s="5">
        <v>1432.09</v>
      </c>
      <c r="E23" s="8">
        <f t="shared" si="1"/>
        <v>1442.09</v>
      </c>
      <c r="F23" s="5">
        <f t="shared" si="2"/>
        <v>2800</v>
      </c>
      <c r="G23" s="2"/>
      <c r="H23" s="5">
        <v>1443.14</v>
      </c>
      <c r="I23" s="8">
        <f t="shared" si="3"/>
        <v>3094</v>
      </c>
      <c r="J23" s="3"/>
      <c r="K23" s="3"/>
      <c r="L23" s="3"/>
      <c r="M23" s="3"/>
      <c r="N23" s="3"/>
      <c r="O23" s="4">
        <f t="shared" si="4"/>
        <v>400985.2</v>
      </c>
      <c r="P23" s="3">
        <f t="shared" ref="P23:P36" si="7">H23*C23</f>
        <v>404079.2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"/>
      <c r="B24" s="2" t="s">
        <v>33</v>
      </c>
      <c r="C24" s="5">
        <v>280.0</v>
      </c>
      <c r="D24" s="5">
        <v>1431.56</v>
      </c>
      <c r="E24" s="8">
        <f t="shared" si="1"/>
        <v>1441.56</v>
      </c>
      <c r="F24" s="5">
        <f t="shared" si="2"/>
        <v>2800</v>
      </c>
      <c r="G24" s="2"/>
      <c r="H24" s="5">
        <v>1443.14</v>
      </c>
      <c r="I24" s="8">
        <f t="shared" si="3"/>
        <v>3242.4</v>
      </c>
      <c r="J24" s="3"/>
      <c r="K24" s="3"/>
      <c r="L24" s="3"/>
      <c r="M24" s="3"/>
      <c r="N24" s="3"/>
      <c r="O24" s="4">
        <f t="shared" si="4"/>
        <v>400836.8</v>
      </c>
      <c r="P24" s="3">
        <f t="shared" si="7"/>
        <v>404079.2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"/>
      <c r="B25" s="2" t="s">
        <v>33</v>
      </c>
      <c r="C25" s="5">
        <v>280.0</v>
      </c>
      <c r="D25" s="5">
        <v>1427.66</v>
      </c>
      <c r="E25" s="8">
        <f t="shared" si="1"/>
        <v>1437.66</v>
      </c>
      <c r="F25" s="5">
        <f t="shared" si="2"/>
        <v>2800</v>
      </c>
      <c r="G25" s="2"/>
      <c r="H25" s="5">
        <v>1438.8</v>
      </c>
      <c r="I25" s="8">
        <f t="shared" si="3"/>
        <v>3119.2</v>
      </c>
      <c r="J25" s="3"/>
      <c r="K25" s="3"/>
      <c r="L25" s="3"/>
      <c r="M25" s="3"/>
      <c r="N25" s="3"/>
      <c r="O25" s="4">
        <f t="shared" si="4"/>
        <v>399744.8</v>
      </c>
      <c r="P25" s="3">
        <f t="shared" si="7"/>
        <v>402864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"/>
      <c r="B26" s="2" t="s">
        <v>34</v>
      </c>
      <c r="C26" s="5">
        <v>280.0</v>
      </c>
      <c r="D26" s="5">
        <v>1421.65</v>
      </c>
      <c r="E26" s="8">
        <f t="shared" si="1"/>
        <v>1431.65</v>
      </c>
      <c r="F26" s="5">
        <f t="shared" si="2"/>
        <v>2800</v>
      </c>
      <c r="G26" s="2"/>
      <c r="H26" s="5">
        <v>1434.95</v>
      </c>
      <c r="I26" s="8">
        <f t="shared" si="3"/>
        <v>3724</v>
      </c>
      <c r="J26" s="3"/>
      <c r="K26" s="3"/>
      <c r="L26" s="3"/>
      <c r="M26" s="3"/>
      <c r="N26" s="3"/>
      <c r="O26" s="4">
        <f t="shared" si="4"/>
        <v>398062</v>
      </c>
      <c r="P26" s="3">
        <f t="shared" si="7"/>
        <v>401786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"/>
      <c r="B27" s="2" t="s">
        <v>34</v>
      </c>
      <c r="C27" s="5">
        <v>280.0</v>
      </c>
      <c r="D27" s="5">
        <v>1424.92</v>
      </c>
      <c r="E27" s="8">
        <f t="shared" si="1"/>
        <v>1434.92</v>
      </c>
      <c r="F27" s="5">
        <f t="shared" si="2"/>
        <v>2800</v>
      </c>
      <c r="G27" s="2"/>
      <c r="H27" s="5">
        <v>1438.8</v>
      </c>
      <c r="I27" s="8">
        <f t="shared" si="3"/>
        <v>3886.4</v>
      </c>
      <c r="J27" s="3"/>
      <c r="K27" s="3"/>
      <c r="L27" s="3"/>
      <c r="M27" s="3"/>
      <c r="N27" s="3"/>
      <c r="O27" s="4">
        <f t="shared" si="4"/>
        <v>398977.6</v>
      </c>
      <c r="P27" s="3">
        <f t="shared" si="7"/>
        <v>402864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"/>
      <c r="B28" s="2" t="s">
        <v>35</v>
      </c>
      <c r="C28" s="5">
        <v>280.0</v>
      </c>
      <c r="D28" s="5">
        <v>1427.08</v>
      </c>
      <c r="E28" s="8">
        <f t="shared" si="1"/>
        <v>1437.08</v>
      </c>
      <c r="F28" s="5">
        <f t="shared" si="2"/>
        <v>2800</v>
      </c>
      <c r="G28" s="2"/>
      <c r="H28" s="5">
        <v>1438.8</v>
      </c>
      <c r="I28" s="8">
        <f t="shared" si="3"/>
        <v>3281.6</v>
      </c>
      <c r="J28" s="3"/>
      <c r="K28" s="3"/>
      <c r="L28" s="3"/>
      <c r="M28" s="3"/>
      <c r="N28" s="3"/>
      <c r="O28" s="4">
        <f t="shared" si="4"/>
        <v>399582.4</v>
      </c>
      <c r="P28" s="3">
        <f t="shared" si="7"/>
        <v>402864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"/>
      <c r="B29" s="2" t="s">
        <v>35</v>
      </c>
      <c r="C29" s="5">
        <v>280.0</v>
      </c>
      <c r="D29" s="5">
        <v>1427.81</v>
      </c>
      <c r="E29" s="8">
        <f t="shared" si="1"/>
        <v>1437.81</v>
      </c>
      <c r="F29" s="5">
        <f t="shared" si="2"/>
        <v>2800</v>
      </c>
      <c r="G29" s="2"/>
      <c r="H29" s="5">
        <v>1438.8</v>
      </c>
      <c r="I29" s="8">
        <f t="shared" si="3"/>
        <v>3077.2</v>
      </c>
      <c r="J29" s="3"/>
      <c r="K29" s="3"/>
      <c r="L29" s="3"/>
      <c r="M29" s="3"/>
      <c r="N29" s="3"/>
      <c r="O29" s="4">
        <f t="shared" si="4"/>
        <v>399786.8</v>
      </c>
      <c r="P29" s="3">
        <f t="shared" si="7"/>
        <v>402864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"/>
      <c r="B30" s="2" t="s">
        <v>36</v>
      </c>
      <c r="C30" s="5">
        <v>280.0</v>
      </c>
      <c r="D30" s="5">
        <v>1422.73</v>
      </c>
      <c r="E30" s="8">
        <f t="shared" si="1"/>
        <v>1432.73</v>
      </c>
      <c r="F30" s="5">
        <f t="shared" si="2"/>
        <v>2800</v>
      </c>
      <c r="G30" s="2"/>
      <c r="H30" s="5">
        <v>1434.95</v>
      </c>
      <c r="I30" s="8">
        <f t="shared" si="3"/>
        <v>3421.6</v>
      </c>
      <c r="J30" s="3"/>
      <c r="K30" s="3"/>
      <c r="L30" s="3"/>
      <c r="M30" s="3"/>
      <c r="N30" s="3"/>
      <c r="O30" s="4">
        <f t="shared" si="4"/>
        <v>398364.4</v>
      </c>
      <c r="P30" s="3">
        <f t="shared" si="7"/>
        <v>401786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"/>
      <c r="B31" s="2" t="s">
        <v>36</v>
      </c>
      <c r="C31" s="5">
        <v>280.0</v>
      </c>
      <c r="D31" s="5">
        <v>1427.16</v>
      </c>
      <c r="E31" s="8">
        <f t="shared" si="1"/>
        <v>1437.16</v>
      </c>
      <c r="F31" s="5">
        <f t="shared" si="2"/>
        <v>2800</v>
      </c>
      <c r="G31" s="2"/>
      <c r="H31" s="5">
        <v>1438.8</v>
      </c>
      <c r="I31" s="8">
        <f t="shared" si="3"/>
        <v>3259.2</v>
      </c>
      <c r="J31" s="3"/>
      <c r="K31" s="3"/>
      <c r="L31" s="3"/>
      <c r="M31" s="3"/>
      <c r="N31" s="3"/>
      <c r="O31" s="4">
        <f t="shared" si="4"/>
        <v>399604.8</v>
      </c>
      <c r="P31" s="3">
        <f t="shared" si="7"/>
        <v>402864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"/>
      <c r="B32" s="2" t="s">
        <v>36</v>
      </c>
      <c r="C32" s="5">
        <v>280.0</v>
      </c>
      <c r="D32" s="5">
        <v>1426.76</v>
      </c>
      <c r="E32" s="8">
        <f t="shared" si="1"/>
        <v>1436.76</v>
      </c>
      <c r="F32" s="5">
        <f t="shared" si="2"/>
        <v>2800</v>
      </c>
      <c r="G32" s="2"/>
      <c r="H32" s="5">
        <v>1436.75</v>
      </c>
      <c r="I32" s="8">
        <f t="shared" si="3"/>
        <v>2797.2</v>
      </c>
      <c r="J32" s="3"/>
      <c r="K32" s="3"/>
      <c r="L32" s="3"/>
      <c r="M32" s="3"/>
      <c r="N32" s="3"/>
      <c r="O32" s="4">
        <f t="shared" si="4"/>
        <v>399492.8</v>
      </c>
      <c r="P32" s="3">
        <f t="shared" si="7"/>
        <v>402290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"/>
      <c r="B33" s="2" t="s">
        <v>37</v>
      </c>
      <c r="C33" s="5">
        <v>280.0</v>
      </c>
      <c r="D33" s="5">
        <v>1420.56</v>
      </c>
      <c r="E33" s="8">
        <f t="shared" si="1"/>
        <v>1430.56</v>
      </c>
      <c r="F33" s="5">
        <f t="shared" si="2"/>
        <v>2800</v>
      </c>
      <c r="G33" s="2"/>
      <c r="H33" s="5">
        <v>1434.95</v>
      </c>
      <c r="I33" s="8">
        <f t="shared" si="3"/>
        <v>4029.2</v>
      </c>
      <c r="J33" s="3"/>
      <c r="K33" s="3"/>
      <c r="L33" s="3"/>
      <c r="M33" s="3"/>
      <c r="N33" s="3"/>
      <c r="O33" s="4">
        <f t="shared" si="4"/>
        <v>397756.8</v>
      </c>
      <c r="P33" s="3">
        <f t="shared" si="7"/>
        <v>401786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"/>
      <c r="B34" s="2" t="s">
        <v>38</v>
      </c>
      <c r="C34" s="5">
        <v>280.0</v>
      </c>
      <c r="D34" s="5">
        <v>1423.15</v>
      </c>
      <c r="E34" s="8">
        <f t="shared" si="1"/>
        <v>1433.15</v>
      </c>
      <c r="F34" s="5">
        <f t="shared" si="2"/>
        <v>2800</v>
      </c>
      <c r="G34" s="2"/>
      <c r="H34" s="5">
        <v>1434.95</v>
      </c>
      <c r="I34" s="8">
        <f t="shared" si="3"/>
        <v>3304</v>
      </c>
      <c r="J34" s="3"/>
      <c r="K34" s="3"/>
      <c r="L34" s="3"/>
      <c r="M34" s="3"/>
      <c r="N34" s="3"/>
      <c r="O34" s="4">
        <f t="shared" si="4"/>
        <v>398482</v>
      </c>
      <c r="P34" s="3">
        <f t="shared" si="7"/>
        <v>401786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"/>
      <c r="B35" s="2" t="s">
        <v>39</v>
      </c>
      <c r="C35" s="5">
        <v>280.0</v>
      </c>
      <c r="D35" s="5">
        <v>1418.19</v>
      </c>
      <c r="E35" s="8">
        <f t="shared" si="1"/>
        <v>1428.19</v>
      </c>
      <c r="F35" s="5">
        <f t="shared" si="2"/>
        <v>2800</v>
      </c>
      <c r="G35" s="2"/>
      <c r="H35" s="5">
        <v>1428.32</v>
      </c>
      <c r="I35" s="8">
        <f t="shared" si="3"/>
        <v>2836.4</v>
      </c>
      <c r="J35" s="3"/>
      <c r="K35" s="3"/>
      <c r="L35" s="3"/>
      <c r="M35" s="3"/>
      <c r="N35" s="3"/>
      <c r="O35" s="4">
        <f t="shared" si="4"/>
        <v>397093.2</v>
      </c>
      <c r="P35" s="3">
        <f t="shared" si="7"/>
        <v>399929.6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"/>
      <c r="B36" s="2" t="s">
        <v>40</v>
      </c>
      <c r="C36" s="5">
        <v>280.0</v>
      </c>
      <c r="D36" s="5">
        <v>1422.1</v>
      </c>
      <c r="E36" s="8">
        <f t="shared" si="1"/>
        <v>1432.1</v>
      </c>
      <c r="F36" s="5">
        <f t="shared" si="2"/>
        <v>2800</v>
      </c>
      <c r="G36" s="2" t="s">
        <v>41</v>
      </c>
      <c r="H36" s="5">
        <v>1441.3</v>
      </c>
      <c r="I36" s="8">
        <f t="shared" si="3"/>
        <v>5376</v>
      </c>
      <c r="J36" s="8"/>
      <c r="K36" s="3"/>
      <c r="L36" s="3"/>
      <c r="M36" s="3"/>
      <c r="N36" s="3"/>
      <c r="O36" s="4">
        <f t="shared" si="4"/>
        <v>398188</v>
      </c>
      <c r="P36" s="3">
        <f t="shared" si="7"/>
        <v>403564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"/>
      <c r="B37" s="2" t="s">
        <v>42</v>
      </c>
      <c r="C37" s="5">
        <v>280.0</v>
      </c>
      <c r="D37" s="5">
        <v>1437.45</v>
      </c>
      <c r="E37" s="8">
        <f t="shared" si="1"/>
        <v>1447.45</v>
      </c>
      <c r="F37" s="5">
        <f t="shared" si="2"/>
        <v>2800</v>
      </c>
      <c r="G37" s="11">
        <v>45966.0</v>
      </c>
      <c r="H37" s="1">
        <v>1446.11</v>
      </c>
      <c r="I37" s="8">
        <f t="shared" si="3"/>
        <v>2424.8</v>
      </c>
      <c r="J37" s="8"/>
      <c r="K37" s="3"/>
      <c r="L37" s="3"/>
      <c r="M37" s="3"/>
      <c r="N37" s="3"/>
      <c r="O37" s="4">
        <f t="shared" si="4"/>
        <v>402486</v>
      </c>
      <c r="P37" s="3">
        <f t="shared" ref="P37:P38" si="8">C37*$R$1</f>
        <v>397600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"/>
      <c r="B38" s="2" t="s">
        <v>41</v>
      </c>
      <c r="C38" s="5">
        <v>280.0</v>
      </c>
      <c r="D38" s="5">
        <v>1435.06</v>
      </c>
      <c r="E38" s="8">
        <f t="shared" si="1"/>
        <v>1445.06</v>
      </c>
      <c r="F38" s="5">
        <f t="shared" si="2"/>
        <v>2800</v>
      </c>
      <c r="G38" s="11">
        <v>45966.0</v>
      </c>
      <c r="H38" s="1">
        <v>1445.65</v>
      </c>
      <c r="I38" s="8">
        <f t="shared" si="3"/>
        <v>2965.2</v>
      </c>
      <c r="J38" s="8"/>
      <c r="K38" s="3"/>
      <c r="L38" s="3"/>
      <c r="M38" s="3"/>
      <c r="N38" s="3"/>
      <c r="O38" s="4">
        <f t="shared" si="4"/>
        <v>401816.8</v>
      </c>
      <c r="P38" s="3">
        <f t="shared" si="8"/>
        <v>397600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"/>
      <c r="B39" s="2" t="s">
        <v>43</v>
      </c>
      <c r="C39" s="5">
        <v>280.0</v>
      </c>
      <c r="D39" s="5">
        <v>1422.58</v>
      </c>
      <c r="E39" s="8">
        <f t="shared" si="1"/>
        <v>1432.58</v>
      </c>
      <c r="F39" s="5">
        <f t="shared" si="2"/>
        <v>2800</v>
      </c>
      <c r="G39" s="2" t="s">
        <v>44</v>
      </c>
      <c r="H39" s="5">
        <v>1434.99</v>
      </c>
      <c r="I39" s="8">
        <f t="shared" si="3"/>
        <v>3474.8</v>
      </c>
      <c r="J39" s="8"/>
      <c r="K39" s="3"/>
      <c r="L39" s="3"/>
      <c r="M39" s="3"/>
      <c r="N39" s="3"/>
      <c r="O39" s="4">
        <f t="shared" si="4"/>
        <v>398322.4</v>
      </c>
      <c r="P39" s="3">
        <f>H39*C39</f>
        <v>401797.2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"/>
      <c r="B40" s="2" t="s">
        <v>45</v>
      </c>
      <c r="C40" s="5">
        <v>280.0</v>
      </c>
      <c r="D40" s="5">
        <v>1429.68</v>
      </c>
      <c r="E40" s="8">
        <f t="shared" si="1"/>
        <v>1439.68</v>
      </c>
      <c r="F40" s="5">
        <f t="shared" si="2"/>
        <v>2800</v>
      </c>
      <c r="G40" s="11">
        <v>45942.0</v>
      </c>
      <c r="H40" s="1">
        <v>1434.86</v>
      </c>
      <c r="I40" s="8">
        <f t="shared" si="3"/>
        <v>1450.4</v>
      </c>
      <c r="J40" s="8"/>
      <c r="K40" s="3"/>
      <c r="L40" s="3"/>
      <c r="M40" s="3"/>
      <c r="N40" s="3"/>
      <c r="O40" s="4">
        <f t="shared" si="4"/>
        <v>400310.4</v>
      </c>
      <c r="P40" s="3">
        <f t="shared" ref="P40:P41" si="9">C40*$R$1</f>
        <v>397600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"/>
      <c r="B41" s="2" t="s">
        <v>44</v>
      </c>
      <c r="C41" s="5">
        <v>280.0</v>
      </c>
      <c r="D41" s="5">
        <v>1411.72</v>
      </c>
      <c r="E41" s="8">
        <f t="shared" si="1"/>
        <v>1421.72</v>
      </c>
      <c r="F41" s="5">
        <f t="shared" si="2"/>
        <v>2800</v>
      </c>
      <c r="G41" s="12">
        <v>45938.0</v>
      </c>
      <c r="H41" s="1">
        <v>1426.63</v>
      </c>
      <c r="I41" s="8">
        <f t="shared" si="3"/>
        <v>4174.8</v>
      </c>
      <c r="J41" s="8"/>
      <c r="K41" s="3"/>
      <c r="L41" s="3"/>
      <c r="M41" s="3"/>
      <c r="N41" s="3"/>
      <c r="O41" s="4">
        <f t="shared" si="4"/>
        <v>395281.6</v>
      </c>
      <c r="P41" s="3">
        <f t="shared" si="9"/>
        <v>397600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"/>
      <c r="B42" s="2" t="s">
        <v>46</v>
      </c>
      <c r="C42" s="5">
        <v>280.0</v>
      </c>
      <c r="D42" s="5">
        <v>1402.3</v>
      </c>
      <c r="E42" s="8">
        <f t="shared" si="1"/>
        <v>1412.3</v>
      </c>
      <c r="F42" s="5">
        <f t="shared" si="2"/>
        <v>2800</v>
      </c>
      <c r="G42" s="2" t="s">
        <v>47</v>
      </c>
      <c r="H42" s="5">
        <v>1420.59</v>
      </c>
      <c r="I42" s="8">
        <f t="shared" si="3"/>
        <v>5121.2</v>
      </c>
      <c r="J42" s="8"/>
      <c r="K42" s="3"/>
      <c r="L42" s="3"/>
      <c r="M42" s="3"/>
      <c r="N42" s="3"/>
      <c r="O42" s="4">
        <f t="shared" si="4"/>
        <v>392644</v>
      </c>
      <c r="P42" s="3">
        <f t="shared" ref="P42:P53" si="10">H42*C42</f>
        <v>397765.2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"/>
      <c r="B43" s="2" t="s">
        <v>48</v>
      </c>
      <c r="C43" s="5">
        <v>280.0</v>
      </c>
      <c r="D43" s="5">
        <v>1403.61</v>
      </c>
      <c r="E43" s="8">
        <f t="shared" si="1"/>
        <v>1413.61</v>
      </c>
      <c r="F43" s="5">
        <f t="shared" si="2"/>
        <v>2800</v>
      </c>
      <c r="G43" s="2" t="s">
        <v>47</v>
      </c>
      <c r="H43" s="5">
        <v>1420.59</v>
      </c>
      <c r="I43" s="8">
        <f t="shared" si="3"/>
        <v>4754.4</v>
      </c>
      <c r="J43" s="8"/>
      <c r="K43" s="3"/>
      <c r="L43" s="3"/>
      <c r="M43" s="3"/>
      <c r="N43" s="3"/>
      <c r="O43" s="4">
        <f t="shared" si="4"/>
        <v>393010.8</v>
      </c>
      <c r="P43" s="3">
        <f t="shared" si="10"/>
        <v>397765.2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"/>
      <c r="B44" s="2" t="s">
        <v>49</v>
      </c>
      <c r="C44" s="5">
        <v>280.0</v>
      </c>
      <c r="D44" s="5">
        <v>1391.65</v>
      </c>
      <c r="E44" s="8">
        <f t="shared" si="1"/>
        <v>1401.65</v>
      </c>
      <c r="F44" s="5">
        <f t="shared" si="2"/>
        <v>2800</v>
      </c>
      <c r="G44" s="2" t="s">
        <v>50</v>
      </c>
      <c r="H44" s="5">
        <v>1406.79</v>
      </c>
      <c r="I44" s="8">
        <f t="shared" si="3"/>
        <v>4239.2</v>
      </c>
      <c r="J44" s="8"/>
      <c r="K44" s="3"/>
      <c r="L44" s="3"/>
      <c r="M44" s="3"/>
      <c r="N44" s="3"/>
      <c r="O44" s="4">
        <f t="shared" si="4"/>
        <v>389662</v>
      </c>
      <c r="P44" s="3">
        <f t="shared" si="10"/>
        <v>393901.2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"/>
      <c r="B45" s="2" t="s">
        <v>51</v>
      </c>
      <c r="C45" s="5">
        <v>280.0</v>
      </c>
      <c r="D45" s="5">
        <v>1383.73</v>
      </c>
      <c r="E45" s="8">
        <f t="shared" si="1"/>
        <v>1393.73</v>
      </c>
      <c r="F45" s="5">
        <f t="shared" si="2"/>
        <v>2800</v>
      </c>
      <c r="G45" s="2" t="s">
        <v>52</v>
      </c>
      <c r="H45" s="5">
        <v>1397.05</v>
      </c>
      <c r="I45" s="8">
        <f t="shared" si="3"/>
        <v>3729.6</v>
      </c>
      <c r="J45" s="8"/>
      <c r="K45" s="3"/>
      <c r="L45" s="3"/>
      <c r="M45" s="3"/>
      <c r="N45" s="3"/>
      <c r="O45" s="4">
        <f t="shared" si="4"/>
        <v>387444.4</v>
      </c>
      <c r="P45" s="3">
        <f t="shared" si="10"/>
        <v>391174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"/>
      <c r="B46" s="2" t="s">
        <v>52</v>
      </c>
      <c r="C46" s="5">
        <v>280.0</v>
      </c>
      <c r="D46" s="5">
        <v>1387.04</v>
      </c>
      <c r="E46" s="8">
        <f t="shared" si="1"/>
        <v>1397.04</v>
      </c>
      <c r="F46" s="5">
        <f t="shared" si="2"/>
        <v>2800</v>
      </c>
      <c r="G46" s="2" t="s">
        <v>52</v>
      </c>
      <c r="H46" s="5">
        <v>1397.05</v>
      </c>
      <c r="I46" s="8">
        <f t="shared" si="3"/>
        <v>2802.8</v>
      </c>
      <c r="J46" s="8"/>
      <c r="K46" s="3"/>
      <c r="L46" s="3"/>
      <c r="M46" s="3"/>
      <c r="N46" s="3"/>
      <c r="O46" s="4">
        <f t="shared" si="4"/>
        <v>388371.2</v>
      </c>
      <c r="P46" s="3">
        <f t="shared" si="10"/>
        <v>391174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"/>
      <c r="B47" s="2" t="s">
        <v>52</v>
      </c>
      <c r="C47" s="5">
        <v>280.0</v>
      </c>
      <c r="D47" s="5">
        <v>1391.37</v>
      </c>
      <c r="E47" s="8">
        <f t="shared" si="1"/>
        <v>1401.37</v>
      </c>
      <c r="F47" s="5">
        <f t="shared" si="2"/>
        <v>2800</v>
      </c>
      <c r="G47" s="2" t="s">
        <v>50</v>
      </c>
      <c r="H47" s="5">
        <v>1406.79</v>
      </c>
      <c r="I47" s="8">
        <f t="shared" si="3"/>
        <v>4317.6</v>
      </c>
      <c r="J47" s="8"/>
      <c r="K47" s="3"/>
      <c r="L47" s="3"/>
      <c r="M47" s="3"/>
      <c r="N47" s="3"/>
      <c r="O47" s="4">
        <f t="shared" si="4"/>
        <v>389583.6</v>
      </c>
      <c r="P47" s="3">
        <f t="shared" si="10"/>
        <v>393901.2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"/>
      <c r="B48" s="2" t="s">
        <v>53</v>
      </c>
      <c r="C48" s="5">
        <v>280.0</v>
      </c>
      <c r="D48" s="5">
        <v>1397.11</v>
      </c>
      <c r="E48" s="8">
        <f t="shared" si="1"/>
        <v>1407.11</v>
      </c>
      <c r="F48" s="5">
        <f t="shared" si="2"/>
        <v>2800</v>
      </c>
      <c r="G48" s="2" t="s">
        <v>47</v>
      </c>
      <c r="H48" s="5">
        <v>1408.57</v>
      </c>
      <c r="I48" s="8">
        <f t="shared" si="3"/>
        <v>3208.8</v>
      </c>
      <c r="J48" s="8"/>
      <c r="K48" s="3"/>
      <c r="L48" s="3"/>
      <c r="M48" s="3"/>
      <c r="N48" s="3"/>
      <c r="O48" s="4">
        <f t="shared" si="4"/>
        <v>391190.8</v>
      </c>
      <c r="P48" s="3">
        <f t="shared" si="10"/>
        <v>394399.6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"/>
      <c r="B49" s="2" t="s">
        <v>50</v>
      </c>
      <c r="C49" s="5">
        <v>280.0</v>
      </c>
      <c r="D49" s="5">
        <v>1402.74</v>
      </c>
      <c r="E49" s="8">
        <f t="shared" si="1"/>
        <v>1412.74</v>
      </c>
      <c r="F49" s="5">
        <f t="shared" si="2"/>
        <v>2800</v>
      </c>
      <c r="G49" s="2" t="s">
        <v>47</v>
      </c>
      <c r="H49" s="5">
        <v>1420.59</v>
      </c>
      <c r="I49" s="8">
        <f t="shared" si="3"/>
        <v>4998</v>
      </c>
      <c r="J49" s="8"/>
      <c r="K49" s="3"/>
      <c r="L49" s="3"/>
      <c r="M49" s="3"/>
      <c r="N49" s="3"/>
      <c r="O49" s="4">
        <f t="shared" si="4"/>
        <v>392767.2</v>
      </c>
      <c r="P49" s="3">
        <f t="shared" si="10"/>
        <v>397765.2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"/>
      <c r="B50" s="2" t="s">
        <v>54</v>
      </c>
      <c r="C50" s="5">
        <v>280.0</v>
      </c>
      <c r="D50" s="5">
        <v>1399.83</v>
      </c>
      <c r="E50" s="8">
        <f t="shared" si="1"/>
        <v>1409.83</v>
      </c>
      <c r="F50" s="5">
        <f t="shared" si="2"/>
        <v>2800</v>
      </c>
      <c r="G50" s="2" t="s">
        <v>47</v>
      </c>
      <c r="H50" s="5">
        <v>1420.59</v>
      </c>
      <c r="I50" s="8">
        <f t="shared" si="3"/>
        <v>5812.8</v>
      </c>
      <c r="J50" s="8"/>
      <c r="K50" s="3"/>
      <c r="L50" s="3"/>
      <c r="M50" s="3"/>
      <c r="N50" s="3"/>
      <c r="O50" s="4">
        <f t="shared" si="4"/>
        <v>391952.4</v>
      </c>
      <c r="P50" s="3">
        <f t="shared" si="10"/>
        <v>397765.2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"/>
      <c r="B51" s="2" t="s">
        <v>55</v>
      </c>
      <c r="C51" s="5">
        <v>280.0</v>
      </c>
      <c r="D51" s="5">
        <v>1400.63</v>
      </c>
      <c r="E51" s="8">
        <f t="shared" si="1"/>
        <v>1410.63</v>
      </c>
      <c r="F51" s="5">
        <f t="shared" si="2"/>
        <v>2800</v>
      </c>
      <c r="G51" s="2" t="s">
        <v>47</v>
      </c>
      <c r="H51" s="5">
        <v>1420.59</v>
      </c>
      <c r="I51" s="8">
        <f t="shared" si="3"/>
        <v>5588.8</v>
      </c>
      <c r="J51" s="8"/>
      <c r="K51" s="3"/>
      <c r="L51" s="3"/>
      <c r="M51" s="3"/>
      <c r="N51" s="3"/>
      <c r="O51" s="4">
        <f t="shared" si="4"/>
        <v>392176.4</v>
      </c>
      <c r="P51" s="3">
        <f t="shared" si="10"/>
        <v>397765.2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"/>
      <c r="B52" s="2" t="s">
        <v>47</v>
      </c>
      <c r="C52" s="5">
        <v>280.0</v>
      </c>
      <c r="D52" s="5">
        <v>1407.94</v>
      </c>
      <c r="E52" s="8">
        <f t="shared" si="1"/>
        <v>1417.94</v>
      </c>
      <c r="F52" s="5">
        <f t="shared" si="2"/>
        <v>2800</v>
      </c>
      <c r="G52" s="2" t="s">
        <v>47</v>
      </c>
      <c r="H52" s="5">
        <v>1420.59</v>
      </c>
      <c r="I52" s="8">
        <f t="shared" si="3"/>
        <v>3542</v>
      </c>
      <c r="J52" s="8"/>
      <c r="K52" s="3"/>
      <c r="L52" s="3"/>
      <c r="M52" s="3"/>
      <c r="N52" s="3"/>
      <c r="O52" s="4">
        <f t="shared" si="4"/>
        <v>394223.2</v>
      </c>
      <c r="P52" s="3">
        <f t="shared" si="10"/>
        <v>397765.2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"/>
      <c r="B53" s="2" t="s">
        <v>47</v>
      </c>
      <c r="C53" s="5">
        <v>280.0</v>
      </c>
      <c r="D53" s="5">
        <v>1414.86</v>
      </c>
      <c r="E53" s="8">
        <f t="shared" ref="E53:E181" si="11">D53+5</f>
        <v>1419.86</v>
      </c>
      <c r="F53" s="5">
        <f t="shared" si="2"/>
        <v>1400</v>
      </c>
      <c r="G53" s="12">
        <v>45938.0</v>
      </c>
      <c r="H53" s="1">
        <v>1420.33</v>
      </c>
      <c r="I53" s="8">
        <f t="shared" si="3"/>
        <v>1531.6</v>
      </c>
      <c r="J53" s="8"/>
      <c r="K53" s="3"/>
      <c r="L53" s="3"/>
      <c r="M53" s="3"/>
      <c r="N53" s="3"/>
      <c r="O53" s="4">
        <f t="shared" si="4"/>
        <v>396160.8</v>
      </c>
      <c r="P53" s="3">
        <f t="shared" si="10"/>
        <v>397692.4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"/>
      <c r="B54" s="2" t="s">
        <v>56</v>
      </c>
      <c r="C54" s="5">
        <v>280.0</v>
      </c>
      <c r="D54" s="5">
        <v>1417.4</v>
      </c>
      <c r="E54" s="8">
        <f t="shared" si="11"/>
        <v>1422.4</v>
      </c>
      <c r="F54" s="5">
        <f t="shared" si="2"/>
        <v>1400</v>
      </c>
      <c r="G54" s="12">
        <v>45938.0</v>
      </c>
      <c r="H54" s="1">
        <v>1425.74</v>
      </c>
      <c r="I54" s="8">
        <f t="shared" si="3"/>
        <v>2335.2</v>
      </c>
      <c r="J54" s="8"/>
      <c r="K54" s="3"/>
      <c r="L54" s="3"/>
      <c r="M54" s="3"/>
      <c r="N54" s="3"/>
      <c r="O54" s="4">
        <f t="shared" si="4"/>
        <v>396872</v>
      </c>
      <c r="P54" s="3">
        <f t="shared" ref="P54:P55" si="12">C54*$R$1</f>
        <v>397600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"/>
      <c r="B55" s="2" t="s">
        <v>56</v>
      </c>
      <c r="C55" s="5">
        <v>280.0</v>
      </c>
      <c r="D55" s="5">
        <v>1416.75</v>
      </c>
      <c r="E55" s="8">
        <f t="shared" si="11"/>
        <v>1421.75</v>
      </c>
      <c r="F55" s="5">
        <f t="shared" si="2"/>
        <v>1400</v>
      </c>
      <c r="G55" s="12">
        <v>45938.0</v>
      </c>
      <c r="H55" s="1">
        <v>1425.74</v>
      </c>
      <c r="I55" s="8">
        <f t="shared" si="3"/>
        <v>2517.2</v>
      </c>
      <c r="J55" s="8"/>
      <c r="K55" s="3"/>
      <c r="L55" s="3"/>
      <c r="M55" s="3"/>
      <c r="N55" s="3"/>
      <c r="O55" s="4">
        <f t="shared" si="4"/>
        <v>396690</v>
      </c>
      <c r="P55" s="3">
        <f t="shared" si="12"/>
        <v>397600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"/>
      <c r="B56" s="2" t="s">
        <v>57</v>
      </c>
      <c r="C56" s="5">
        <v>280.0</v>
      </c>
      <c r="D56" s="5">
        <v>1413.9</v>
      </c>
      <c r="E56" s="8">
        <f t="shared" si="11"/>
        <v>1418.9</v>
      </c>
      <c r="F56" s="5">
        <f t="shared" si="2"/>
        <v>1400</v>
      </c>
      <c r="G56" s="12">
        <v>45938.0</v>
      </c>
      <c r="H56" s="1">
        <v>1419.61</v>
      </c>
      <c r="I56" s="8">
        <f t="shared" si="3"/>
        <v>1598.8</v>
      </c>
      <c r="J56" s="8"/>
      <c r="K56" s="3"/>
      <c r="L56" s="3"/>
      <c r="M56" s="3"/>
      <c r="N56" s="3"/>
      <c r="O56" s="4">
        <f t="shared" si="4"/>
        <v>395892</v>
      </c>
      <c r="P56" s="3">
        <f>H56*C56</f>
        <v>397490.8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"/>
      <c r="B57" s="2" t="s">
        <v>57</v>
      </c>
      <c r="C57" s="5">
        <v>280.0</v>
      </c>
      <c r="D57" s="5">
        <v>1416.24</v>
      </c>
      <c r="E57" s="8">
        <f t="shared" si="11"/>
        <v>1421.24</v>
      </c>
      <c r="F57" s="5">
        <f t="shared" si="2"/>
        <v>1400</v>
      </c>
      <c r="G57" s="12">
        <v>45938.0</v>
      </c>
      <c r="H57" s="1">
        <v>1425.74</v>
      </c>
      <c r="I57" s="8">
        <f t="shared" si="3"/>
        <v>2660</v>
      </c>
      <c r="J57" s="8"/>
      <c r="K57" s="3"/>
      <c r="L57" s="3"/>
      <c r="M57" s="3"/>
      <c r="N57" s="1" t="s">
        <v>58</v>
      </c>
      <c r="O57" s="4">
        <f t="shared" si="4"/>
        <v>396547.2</v>
      </c>
      <c r="P57" s="3">
        <f>C57*$R$1</f>
        <v>397600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13"/>
      <c r="B58" s="13">
        <v>45792.0</v>
      </c>
      <c r="C58" s="5">
        <v>280.0</v>
      </c>
      <c r="D58" s="5">
        <v>1398.08</v>
      </c>
      <c r="E58" s="8">
        <f t="shared" si="11"/>
        <v>1403.08</v>
      </c>
      <c r="F58" s="5">
        <f t="shared" si="2"/>
        <v>1400</v>
      </c>
      <c r="G58" s="12">
        <v>45870.0</v>
      </c>
      <c r="H58" s="1">
        <v>1403.66</v>
      </c>
      <c r="I58" s="8">
        <f t="shared" si="3"/>
        <v>1562.4</v>
      </c>
      <c r="J58" s="8"/>
      <c r="K58" s="3">
        <f t="shared" ref="K58:K69" si="13">D58*C58</f>
        <v>391462.4</v>
      </c>
      <c r="L58" s="3">
        <f t="shared" ref="L58:L69" si="14">I58</f>
        <v>1562.4</v>
      </c>
      <c r="M58" s="14">
        <f t="shared" ref="M58:M66" si="15">datedif(B58,G58,"d")</f>
        <v>78</v>
      </c>
      <c r="N58" s="3">
        <f t="shared" ref="N58:N69" si="16">L58/K58/M58*365*100</f>
        <v>1.867671268</v>
      </c>
      <c r="O58" s="4">
        <f t="shared" si="4"/>
        <v>391462.4</v>
      </c>
      <c r="P58" s="3">
        <f t="shared" ref="P58:P177" si="17">H58*C58</f>
        <v>393024.8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15"/>
      <c r="B59" s="15">
        <v>45792.0</v>
      </c>
      <c r="C59" s="5">
        <v>280.0</v>
      </c>
      <c r="D59" s="5">
        <v>1407.4</v>
      </c>
      <c r="E59" s="8">
        <f t="shared" si="11"/>
        <v>1412.4</v>
      </c>
      <c r="F59" s="5">
        <f t="shared" si="2"/>
        <v>1400</v>
      </c>
      <c r="G59" s="12">
        <v>45926.0</v>
      </c>
      <c r="H59" s="1">
        <v>1413.28</v>
      </c>
      <c r="I59" s="8">
        <f t="shared" si="3"/>
        <v>1646.4</v>
      </c>
      <c r="J59" s="8"/>
      <c r="K59" s="3">
        <f t="shared" si="13"/>
        <v>394072</v>
      </c>
      <c r="L59" s="3">
        <f t="shared" si="14"/>
        <v>1646.4</v>
      </c>
      <c r="M59" s="14">
        <f t="shared" si="15"/>
        <v>134</v>
      </c>
      <c r="N59" s="3">
        <f t="shared" si="16"/>
        <v>1.138014631</v>
      </c>
      <c r="O59" s="4">
        <f t="shared" si="4"/>
        <v>394072</v>
      </c>
      <c r="P59" s="3">
        <f t="shared" si="17"/>
        <v>395718.4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15"/>
      <c r="B60" s="15">
        <v>45792.0</v>
      </c>
      <c r="C60" s="5">
        <v>280.0</v>
      </c>
      <c r="D60" s="5">
        <v>1399.99</v>
      </c>
      <c r="E60" s="8">
        <f t="shared" si="11"/>
        <v>1404.99</v>
      </c>
      <c r="F60" s="5">
        <f t="shared" si="2"/>
        <v>1400</v>
      </c>
      <c r="G60" s="12">
        <v>45925.0</v>
      </c>
      <c r="H60" s="1">
        <v>1405.66</v>
      </c>
      <c r="I60" s="8">
        <f t="shared" si="3"/>
        <v>1587.6</v>
      </c>
      <c r="J60" s="8"/>
      <c r="K60" s="3">
        <f t="shared" si="13"/>
        <v>391997.2</v>
      </c>
      <c r="L60" s="3">
        <f t="shared" si="14"/>
        <v>1587.6</v>
      </c>
      <c r="M60" s="14">
        <f t="shared" si="15"/>
        <v>133</v>
      </c>
      <c r="N60" s="3">
        <f t="shared" si="16"/>
        <v>1.111474105</v>
      </c>
      <c r="O60" s="4">
        <f t="shared" si="4"/>
        <v>391997.2</v>
      </c>
      <c r="P60" s="3">
        <f t="shared" si="17"/>
        <v>393584.8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15"/>
      <c r="B61" s="15">
        <v>45792.0</v>
      </c>
      <c r="C61" s="5">
        <v>280.0</v>
      </c>
      <c r="D61" s="5">
        <v>1397.64</v>
      </c>
      <c r="E61" s="8">
        <f t="shared" si="11"/>
        <v>1402.64</v>
      </c>
      <c r="F61" s="5">
        <f t="shared" si="2"/>
        <v>1400</v>
      </c>
      <c r="G61" s="12">
        <v>45870.0</v>
      </c>
      <c r="H61" s="1">
        <v>1403.66</v>
      </c>
      <c r="I61" s="8">
        <f t="shared" si="3"/>
        <v>1685.6</v>
      </c>
      <c r="J61" s="8"/>
      <c r="K61" s="3">
        <f t="shared" si="13"/>
        <v>391339.2</v>
      </c>
      <c r="L61" s="3">
        <f t="shared" si="14"/>
        <v>1685.6</v>
      </c>
      <c r="M61" s="14">
        <f t="shared" si="15"/>
        <v>78</v>
      </c>
      <c r="N61" s="3">
        <f t="shared" si="16"/>
        <v>2.015577174</v>
      </c>
      <c r="O61" s="4">
        <f t="shared" si="4"/>
        <v>391339.2</v>
      </c>
      <c r="P61" s="3">
        <f t="shared" si="17"/>
        <v>393024.8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15"/>
      <c r="B62" s="15">
        <v>45793.0</v>
      </c>
      <c r="C62" s="5">
        <v>280.0</v>
      </c>
      <c r="D62" s="5">
        <v>1394.59</v>
      </c>
      <c r="E62" s="8">
        <f t="shared" si="11"/>
        <v>1399.59</v>
      </c>
      <c r="F62" s="5">
        <f t="shared" si="2"/>
        <v>1400</v>
      </c>
      <c r="G62" s="12">
        <v>45870.0</v>
      </c>
      <c r="H62" s="1">
        <v>1400.5</v>
      </c>
      <c r="I62" s="8">
        <f t="shared" si="3"/>
        <v>1654.8</v>
      </c>
      <c r="J62" s="8"/>
      <c r="K62" s="3">
        <f t="shared" si="13"/>
        <v>390485.2</v>
      </c>
      <c r="L62" s="3">
        <f t="shared" si="14"/>
        <v>1654.8</v>
      </c>
      <c r="M62" s="14">
        <f t="shared" si="15"/>
        <v>77</v>
      </c>
      <c r="N62" s="3">
        <f t="shared" si="16"/>
        <v>2.008829481</v>
      </c>
      <c r="O62" s="4">
        <f t="shared" si="4"/>
        <v>390485.2</v>
      </c>
      <c r="P62" s="3">
        <f t="shared" si="17"/>
        <v>392140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15"/>
      <c r="B63" s="15">
        <v>45793.0</v>
      </c>
      <c r="C63" s="5">
        <v>280.0</v>
      </c>
      <c r="D63" s="5">
        <v>1392.77</v>
      </c>
      <c r="E63" s="8">
        <f t="shared" si="11"/>
        <v>1397.77</v>
      </c>
      <c r="F63" s="5">
        <f t="shared" si="2"/>
        <v>1400</v>
      </c>
      <c r="G63" s="12">
        <v>45870.0</v>
      </c>
      <c r="H63" s="1">
        <v>1398.91</v>
      </c>
      <c r="I63" s="8">
        <f t="shared" si="3"/>
        <v>1719.2</v>
      </c>
      <c r="J63" s="8"/>
      <c r="K63" s="3">
        <f t="shared" si="13"/>
        <v>389975.6</v>
      </c>
      <c r="L63" s="3">
        <f t="shared" si="14"/>
        <v>1719.2</v>
      </c>
      <c r="M63" s="14">
        <f t="shared" si="15"/>
        <v>77</v>
      </c>
      <c r="N63" s="3">
        <f t="shared" si="16"/>
        <v>2.089734472</v>
      </c>
      <c r="O63" s="4">
        <f t="shared" si="4"/>
        <v>389975.6</v>
      </c>
      <c r="P63" s="3">
        <f t="shared" si="17"/>
        <v>391694.8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15"/>
      <c r="B64" s="15">
        <v>45798.0</v>
      </c>
      <c r="C64" s="5">
        <v>280.0</v>
      </c>
      <c r="D64" s="5">
        <v>1387.69</v>
      </c>
      <c r="E64" s="8">
        <f t="shared" si="11"/>
        <v>1392.69</v>
      </c>
      <c r="F64" s="5">
        <f t="shared" si="2"/>
        <v>1400</v>
      </c>
      <c r="G64" s="12">
        <v>45856.0</v>
      </c>
      <c r="H64" s="1">
        <v>1392.02</v>
      </c>
      <c r="I64" s="8">
        <f t="shared" si="3"/>
        <v>1212.4</v>
      </c>
      <c r="J64" s="8"/>
      <c r="K64" s="3">
        <f t="shared" si="13"/>
        <v>388553.2</v>
      </c>
      <c r="L64" s="3">
        <f t="shared" si="14"/>
        <v>1212.4</v>
      </c>
      <c r="M64" s="14">
        <f t="shared" si="15"/>
        <v>58</v>
      </c>
      <c r="N64" s="3">
        <f t="shared" si="16"/>
        <v>1.963632939</v>
      </c>
      <c r="O64" s="4">
        <f t="shared" si="4"/>
        <v>388553.2</v>
      </c>
      <c r="P64" s="3">
        <f t="shared" si="17"/>
        <v>389765.6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15"/>
      <c r="B65" s="15">
        <v>45799.0</v>
      </c>
      <c r="C65" s="5">
        <v>280.0</v>
      </c>
      <c r="D65" s="5">
        <v>1377.3</v>
      </c>
      <c r="E65" s="8">
        <f t="shared" si="11"/>
        <v>1382.3</v>
      </c>
      <c r="F65" s="5">
        <f t="shared" si="2"/>
        <v>1400</v>
      </c>
      <c r="G65" s="12">
        <v>45831.0</v>
      </c>
      <c r="H65" s="5">
        <v>1387.03</v>
      </c>
      <c r="I65" s="8">
        <f t="shared" si="3"/>
        <v>2724.4</v>
      </c>
      <c r="J65" s="8"/>
      <c r="K65" s="3">
        <f t="shared" si="13"/>
        <v>385644</v>
      </c>
      <c r="L65" s="3">
        <f t="shared" si="14"/>
        <v>2724.4</v>
      </c>
      <c r="M65" s="14">
        <f t="shared" si="15"/>
        <v>32</v>
      </c>
      <c r="N65" s="3">
        <f t="shared" si="16"/>
        <v>8.057998439</v>
      </c>
      <c r="O65" s="4">
        <f t="shared" si="4"/>
        <v>385644</v>
      </c>
      <c r="P65" s="3">
        <f t="shared" si="17"/>
        <v>388368.4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15"/>
      <c r="B66" s="15">
        <v>45817.0</v>
      </c>
      <c r="C66" s="5">
        <v>150.0</v>
      </c>
      <c r="D66" s="5">
        <v>1355.31</v>
      </c>
      <c r="E66" s="8">
        <f t="shared" si="11"/>
        <v>1360.31</v>
      </c>
      <c r="F66" s="5">
        <f t="shared" si="2"/>
        <v>750</v>
      </c>
      <c r="G66" s="12">
        <v>45819.0</v>
      </c>
      <c r="H66" s="5">
        <v>1366.43</v>
      </c>
      <c r="I66" s="8">
        <f t="shared" si="3"/>
        <v>1668</v>
      </c>
      <c r="J66" s="8"/>
      <c r="K66" s="3">
        <f t="shared" si="13"/>
        <v>203296.5</v>
      </c>
      <c r="L66" s="3">
        <f t="shared" si="14"/>
        <v>1668</v>
      </c>
      <c r="M66" s="14">
        <f t="shared" si="15"/>
        <v>2</v>
      </c>
      <c r="N66" s="3">
        <f t="shared" si="16"/>
        <v>149.7369605</v>
      </c>
      <c r="O66" s="4">
        <f t="shared" si="4"/>
        <v>203296.5</v>
      </c>
      <c r="P66" s="3">
        <f t="shared" si="17"/>
        <v>204964.5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15"/>
      <c r="B67" s="15">
        <v>45819.0</v>
      </c>
      <c r="C67" s="5">
        <v>150.0</v>
      </c>
      <c r="D67" s="5">
        <v>1366.74</v>
      </c>
      <c r="E67" s="8">
        <f t="shared" si="11"/>
        <v>1371.74</v>
      </c>
      <c r="F67" s="5">
        <f t="shared" si="2"/>
        <v>750</v>
      </c>
      <c r="G67" s="12">
        <v>45819.0</v>
      </c>
      <c r="H67" s="5">
        <v>1371.54</v>
      </c>
      <c r="I67" s="8">
        <f t="shared" si="3"/>
        <v>720</v>
      </c>
      <c r="J67" s="8"/>
      <c r="K67" s="3">
        <f t="shared" si="13"/>
        <v>205011</v>
      </c>
      <c r="L67" s="3">
        <f t="shared" si="14"/>
        <v>720</v>
      </c>
      <c r="M67" s="16">
        <v>1.0</v>
      </c>
      <c r="N67" s="3">
        <f t="shared" si="16"/>
        <v>128.1882436</v>
      </c>
      <c r="O67" s="4">
        <f t="shared" si="4"/>
        <v>205011</v>
      </c>
      <c r="P67" s="3">
        <f t="shared" si="17"/>
        <v>205731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15"/>
      <c r="B68" s="15">
        <v>45820.0</v>
      </c>
      <c r="C68" s="5">
        <v>150.0</v>
      </c>
      <c r="D68" s="5">
        <v>1369.27</v>
      </c>
      <c r="E68" s="8">
        <f t="shared" si="11"/>
        <v>1374.27</v>
      </c>
      <c r="F68" s="5">
        <f t="shared" si="2"/>
        <v>750</v>
      </c>
      <c r="G68" s="12">
        <v>45826.0</v>
      </c>
      <c r="H68" s="5">
        <v>1374.61</v>
      </c>
      <c r="I68" s="8">
        <f t="shared" si="3"/>
        <v>801</v>
      </c>
      <c r="J68" s="8"/>
      <c r="K68" s="3">
        <f t="shared" si="13"/>
        <v>205390.5</v>
      </c>
      <c r="L68" s="3">
        <f t="shared" si="14"/>
        <v>801</v>
      </c>
      <c r="M68" s="14">
        <f t="shared" ref="M68:M69" si="18">datedif(B68,G68,"d")</f>
        <v>6</v>
      </c>
      <c r="N68" s="3">
        <f t="shared" si="16"/>
        <v>23.72432026</v>
      </c>
      <c r="O68" s="4">
        <f t="shared" si="4"/>
        <v>205390.5</v>
      </c>
      <c r="P68" s="3">
        <f t="shared" si="17"/>
        <v>206191.5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15"/>
      <c r="B69" s="15">
        <v>45821.0</v>
      </c>
      <c r="C69" s="5">
        <v>150.0</v>
      </c>
      <c r="D69" s="5">
        <v>1363.89</v>
      </c>
      <c r="E69" s="8">
        <f t="shared" si="11"/>
        <v>1368.89</v>
      </c>
      <c r="F69" s="5">
        <f t="shared" si="2"/>
        <v>750</v>
      </c>
      <c r="G69" s="12">
        <v>45823.0</v>
      </c>
      <c r="H69" s="5">
        <v>1368.87</v>
      </c>
      <c r="I69" s="8">
        <f t="shared" si="3"/>
        <v>747</v>
      </c>
      <c r="J69" s="8"/>
      <c r="K69" s="3">
        <f t="shared" si="13"/>
        <v>204583.5</v>
      </c>
      <c r="L69" s="3">
        <f t="shared" si="14"/>
        <v>747</v>
      </c>
      <c r="M69" s="14">
        <f t="shared" si="18"/>
        <v>2</v>
      </c>
      <c r="N69" s="3">
        <f t="shared" si="16"/>
        <v>66.63660559</v>
      </c>
      <c r="O69" s="4">
        <f t="shared" si="4"/>
        <v>204583.5</v>
      </c>
      <c r="P69" s="3">
        <f t="shared" si="17"/>
        <v>205330.5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15"/>
      <c r="B70" s="15">
        <v>45823.0</v>
      </c>
      <c r="C70" s="5">
        <v>150.0</v>
      </c>
      <c r="D70" s="5">
        <v>1366.0</v>
      </c>
      <c r="E70" s="8">
        <f t="shared" si="11"/>
        <v>1371</v>
      </c>
      <c r="F70" s="5">
        <f t="shared" si="2"/>
        <v>750</v>
      </c>
      <c r="G70" s="12">
        <v>45826.0</v>
      </c>
      <c r="H70" s="5">
        <v>1372.47</v>
      </c>
      <c r="I70" s="8">
        <f t="shared" si="3"/>
        <v>970.5</v>
      </c>
      <c r="J70" s="8"/>
      <c r="K70" s="3"/>
      <c r="L70" s="3"/>
      <c r="M70" s="3"/>
      <c r="N70" s="3"/>
      <c r="O70" s="4">
        <f t="shared" si="4"/>
        <v>204900</v>
      </c>
      <c r="P70" s="3">
        <f t="shared" si="17"/>
        <v>205870.5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17"/>
      <c r="B71" s="17" t="s">
        <v>59</v>
      </c>
      <c r="C71" s="5">
        <v>150.0</v>
      </c>
      <c r="D71" s="5">
        <v>1361.47</v>
      </c>
      <c r="E71" s="8">
        <f t="shared" si="11"/>
        <v>1366.47</v>
      </c>
      <c r="F71" s="5">
        <f t="shared" si="2"/>
        <v>750</v>
      </c>
      <c r="G71" s="18" t="s">
        <v>60</v>
      </c>
      <c r="H71" s="5">
        <v>1372.47</v>
      </c>
      <c r="I71" s="8">
        <f t="shared" si="3"/>
        <v>1650</v>
      </c>
      <c r="J71" s="8"/>
      <c r="K71" s="3"/>
      <c r="L71" s="3"/>
      <c r="M71" s="3"/>
      <c r="N71" s="3"/>
      <c r="O71" s="4">
        <f t="shared" si="4"/>
        <v>204220.5</v>
      </c>
      <c r="P71" s="3">
        <f t="shared" si="17"/>
        <v>205870.5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17"/>
      <c r="B72" s="17" t="s">
        <v>61</v>
      </c>
      <c r="C72" s="5">
        <v>150.0</v>
      </c>
      <c r="D72" s="5">
        <v>1375.53</v>
      </c>
      <c r="E72" s="8">
        <f t="shared" si="11"/>
        <v>1380.53</v>
      </c>
      <c r="F72" s="5">
        <f t="shared" si="2"/>
        <v>750</v>
      </c>
      <c r="G72" s="18" t="s">
        <v>61</v>
      </c>
      <c r="H72" s="5">
        <v>1381.49</v>
      </c>
      <c r="I72" s="8">
        <f t="shared" si="3"/>
        <v>894</v>
      </c>
      <c r="J72" s="8"/>
      <c r="K72" s="3"/>
      <c r="L72" s="3"/>
      <c r="M72" s="3"/>
      <c r="N72" s="3"/>
      <c r="O72" s="4">
        <f t="shared" si="4"/>
        <v>206329.5</v>
      </c>
      <c r="P72" s="3">
        <f t="shared" si="17"/>
        <v>207223.5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17"/>
      <c r="B73" s="17" t="s">
        <v>62</v>
      </c>
      <c r="C73" s="5">
        <v>150.0</v>
      </c>
      <c r="D73" s="5">
        <v>1375.6</v>
      </c>
      <c r="E73" s="8">
        <f t="shared" si="11"/>
        <v>1380.6</v>
      </c>
      <c r="F73" s="5">
        <f t="shared" si="2"/>
        <v>750</v>
      </c>
      <c r="G73" s="18" t="s">
        <v>63</v>
      </c>
      <c r="H73" s="5">
        <v>1387.03</v>
      </c>
      <c r="I73" s="8">
        <f t="shared" si="3"/>
        <v>1714.5</v>
      </c>
      <c r="J73" s="8"/>
      <c r="K73" s="3"/>
      <c r="L73" s="3"/>
      <c r="M73" s="3"/>
      <c r="N73" s="3"/>
      <c r="O73" s="4">
        <f t="shared" si="4"/>
        <v>206340</v>
      </c>
      <c r="P73" s="3">
        <f t="shared" si="17"/>
        <v>208054.5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17"/>
      <c r="B74" s="17" t="s">
        <v>62</v>
      </c>
      <c r="C74" s="5">
        <v>150.0</v>
      </c>
      <c r="D74" s="5">
        <v>1368.16</v>
      </c>
      <c r="E74" s="8">
        <f t="shared" si="11"/>
        <v>1373.16</v>
      </c>
      <c r="F74" s="5">
        <f t="shared" si="2"/>
        <v>750</v>
      </c>
      <c r="G74" s="18" t="s">
        <v>64</v>
      </c>
      <c r="H74" s="5">
        <v>1373.06</v>
      </c>
      <c r="I74" s="8">
        <f t="shared" si="3"/>
        <v>735</v>
      </c>
      <c r="J74" s="8"/>
      <c r="K74" s="3"/>
      <c r="L74" s="3"/>
      <c r="M74" s="3"/>
      <c r="N74" s="3"/>
      <c r="O74" s="4">
        <f t="shared" si="4"/>
        <v>205224</v>
      </c>
      <c r="P74" s="3">
        <f t="shared" si="17"/>
        <v>205959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17"/>
      <c r="B75" s="17" t="s">
        <v>65</v>
      </c>
      <c r="C75" s="5">
        <v>150.0</v>
      </c>
      <c r="D75" s="5">
        <v>1372.93</v>
      </c>
      <c r="E75" s="8">
        <f t="shared" si="11"/>
        <v>1377.93</v>
      </c>
      <c r="F75" s="5">
        <f t="shared" si="2"/>
        <v>750</v>
      </c>
      <c r="G75" s="18" t="s">
        <v>63</v>
      </c>
      <c r="H75" s="5">
        <v>1387.03</v>
      </c>
      <c r="I75" s="8">
        <f t="shared" si="3"/>
        <v>2115</v>
      </c>
      <c r="J75" s="8"/>
      <c r="K75" s="3"/>
      <c r="L75" s="3"/>
      <c r="M75" s="3"/>
      <c r="N75" s="3"/>
      <c r="O75" s="4">
        <f t="shared" si="4"/>
        <v>205939.5</v>
      </c>
      <c r="P75" s="3">
        <f t="shared" si="17"/>
        <v>208054.5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17"/>
      <c r="B76" s="17" t="s">
        <v>63</v>
      </c>
      <c r="C76" s="5">
        <v>150.0</v>
      </c>
      <c r="D76" s="5">
        <v>1376.14</v>
      </c>
      <c r="E76" s="8">
        <f t="shared" si="11"/>
        <v>1381.14</v>
      </c>
      <c r="F76" s="5">
        <f t="shared" si="2"/>
        <v>750</v>
      </c>
      <c r="G76" s="18" t="s">
        <v>63</v>
      </c>
      <c r="H76" s="5">
        <v>1387.03</v>
      </c>
      <c r="I76" s="8">
        <f t="shared" si="3"/>
        <v>1633.5</v>
      </c>
      <c r="J76" s="8"/>
      <c r="K76" s="3"/>
      <c r="L76" s="3"/>
      <c r="M76" s="3"/>
      <c r="N76" s="3"/>
      <c r="O76" s="4">
        <f t="shared" si="4"/>
        <v>206421</v>
      </c>
      <c r="P76" s="3">
        <f t="shared" si="17"/>
        <v>208054.5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17"/>
      <c r="B77" s="17" t="s">
        <v>66</v>
      </c>
      <c r="C77" s="5">
        <v>150.0</v>
      </c>
      <c r="D77" s="5">
        <v>1367.47</v>
      </c>
      <c r="E77" s="8">
        <f t="shared" si="11"/>
        <v>1372.47</v>
      </c>
      <c r="F77" s="5">
        <f t="shared" si="2"/>
        <v>750</v>
      </c>
      <c r="G77" s="18" t="s">
        <v>67</v>
      </c>
      <c r="H77" s="8">
        <v>1374.37</v>
      </c>
      <c r="I77" s="8">
        <f t="shared" si="3"/>
        <v>1035</v>
      </c>
      <c r="J77" s="8"/>
      <c r="K77" s="3"/>
      <c r="L77" s="3"/>
      <c r="M77" s="3"/>
      <c r="N77" s="3"/>
      <c r="O77" s="4">
        <f t="shared" si="4"/>
        <v>205120.5</v>
      </c>
      <c r="P77" s="3">
        <f t="shared" si="17"/>
        <v>206155.5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17"/>
      <c r="B78" s="17" t="s">
        <v>66</v>
      </c>
      <c r="C78" s="5">
        <v>150.0</v>
      </c>
      <c r="D78" s="5">
        <v>1360.93</v>
      </c>
      <c r="E78" s="8">
        <f t="shared" si="11"/>
        <v>1365.93</v>
      </c>
      <c r="F78" s="5">
        <f t="shared" si="2"/>
        <v>750</v>
      </c>
      <c r="G78" s="18" t="s">
        <v>68</v>
      </c>
      <c r="H78" s="8">
        <v>1368.48</v>
      </c>
      <c r="I78" s="8">
        <f t="shared" si="3"/>
        <v>1132.5</v>
      </c>
      <c r="J78" s="8"/>
      <c r="K78" s="3"/>
      <c r="L78" s="3"/>
      <c r="M78" s="3"/>
      <c r="N78" s="3"/>
      <c r="O78" s="4">
        <f t="shared" si="4"/>
        <v>204139.5</v>
      </c>
      <c r="P78" s="3">
        <f t="shared" si="17"/>
        <v>205272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17"/>
      <c r="B79" s="17" t="s">
        <v>69</v>
      </c>
      <c r="C79" s="5">
        <v>150.0</v>
      </c>
      <c r="D79" s="5">
        <v>1357.45</v>
      </c>
      <c r="E79" s="8">
        <f t="shared" si="11"/>
        <v>1362.45</v>
      </c>
      <c r="F79" s="5">
        <f t="shared" si="2"/>
        <v>750</v>
      </c>
      <c r="G79" s="18" t="s">
        <v>69</v>
      </c>
      <c r="H79" s="5">
        <v>1362.62</v>
      </c>
      <c r="I79" s="8">
        <f t="shared" si="3"/>
        <v>775.5</v>
      </c>
      <c r="J79" s="8"/>
      <c r="K79" s="3"/>
      <c r="L79" s="3"/>
      <c r="M79" s="3"/>
      <c r="N79" s="3"/>
      <c r="O79" s="4">
        <f t="shared" si="4"/>
        <v>203617.5</v>
      </c>
      <c r="P79" s="3">
        <f t="shared" si="17"/>
        <v>204393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17"/>
      <c r="B80" s="17" t="s">
        <v>70</v>
      </c>
      <c r="C80" s="5">
        <v>150.0</v>
      </c>
      <c r="D80" s="5">
        <v>1362.04</v>
      </c>
      <c r="E80" s="8">
        <f t="shared" si="11"/>
        <v>1367.04</v>
      </c>
      <c r="F80" s="5">
        <f t="shared" si="2"/>
        <v>750</v>
      </c>
      <c r="G80" s="18" t="s">
        <v>68</v>
      </c>
      <c r="H80" s="8">
        <v>1368.48</v>
      </c>
      <c r="I80" s="8">
        <f t="shared" si="3"/>
        <v>966</v>
      </c>
      <c r="J80" s="8"/>
      <c r="K80" s="3"/>
      <c r="L80" s="3"/>
      <c r="M80" s="3"/>
      <c r="N80" s="3"/>
      <c r="O80" s="4">
        <f t="shared" si="4"/>
        <v>204306</v>
      </c>
      <c r="P80" s="3">
        <f t="shared" si="17"/>
        <v>205272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17"/>
      <c r="B81" s="17" t="s">
        <v>70</v>
      </c>
      <c r="C81" s="5">
        <v>150.0</v>
      </c>
      <c r="D81" s="5">
        <v>1356.53</v>
      </c>
      <c r="E81" s="8">
        <f t="shared" si="11"/>
        <v>1361.53</v>
      </c>
      <c r="F81" s="5">
        <f t="shared" si="2"/>
        <v>750</v>
      </c>
      <c r="G81" s="18" t="s">
        <v>71</v>
      </c>
      <c r="H81" s="5">
        <v>1361.66</v>
      </c>
      <c r="I81" s="8">
        <f t="shared" si="3"/>
        <v>769.5</v>
      </c>
      <c r="J81" s="8"/>
      <c r="K81" s="3"/>
      <c r="L81" s="3"/>
      <c r="M81" s="3"/>
      <c r="N81" s="3"/>
      <c r="O81" s="4">
        <f t="shared" si="4"/>
        <v>203479.5</v>
      </c>
      <c r="P81" s="3">
        <f t="shared" si="17"/>
        <v>204249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17"/>
      <c r="B82" s="17" t="s">
        <v>72</v>
      </c>
      <c r="C82" s="5">
        <v>150.0</v>
      </c>
      <c r="D82" s="5">
        <v>1357.72</v>
      </c>
      <c r="E82" s="8">
        <f t="shared" si="11"/>
        <v>1362.72</v>
      </c>
      <c r="F82" s="5">
        <f t="shared" si="2"/>
        <v>750</v>
      </c>
      <c r="G82" s="18" t="s">
        <v>73</v>
      </c>
      <c r="H82" s="5">
        <v>1362.35</v>
      </c>
      <c r="I82" s="8">
        <f t="shared" si="3"/>
        <v>694.5</v>
      </c>
      <c r="J82" s="8"/>
      <c r="K82" s="3"/>
      <c r="L82" s="3"/>
      <c r="M82" s="3"/>
      <c r="N82" s="3"/>
      <c r="O82" s="4">
        <f t="shared" si="4"/>
        <v>203658</v>
      </c>
      <c r="P82" s="3">
        <f t="shared" si="17"/>
        <v>204352.5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17"/>
      <c r="B83" s="17" t="s">
        <v>74</v>
      </c>
      <c r="C83" s="5">
        <v>150.0</v>
      </c>
      <c r="D83" s="5">
        <v>1361.66</v>
      </c>
      <c r="E83" s="8">
        <f t="shared" si="11"/>
        <v>1366.66</v>
      </c>
      <c r="F83" s="5">
        <f t="shared" si="2"/>
        <v>750</v>
      </c>
      <c r="G83" s="18" t="s">
        <v>68</v>
      </c>
      <c r="H83" s="8">
        <v>1368.48</v>
      </c>
      <c r="I83" s="8">
        <f t="shared" si="3"/>
        <v>1023</v>
      </c>
      <c r="J83" s="8"/>
      <c r="K83" s="3"/>
      <c r="L83" s="3"/>
      <c r="M83" s="3"/>
      <c r="N83" s="3"/>
      <c r="O83" s="4">
        <f t="shared" si="4"/>
        <v>204249</v>
      </c>
      <c r="P83" s="3">
        <f t="shared" si="17"/>
        <v>205272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17"/>
      <c r="B84" s="17" t="s">
        <v>75</v>
      </c>
      <c r="C84" s="5">
        <v>150.0</v>
      </c>
      <c r="D84" s="5">
        <v>1356.86</v>
      </c>
      <c r="E84" s="8">
        <f t="shared" si="11"/>
        <v>1361.86</v>
      </c>
      <c r="F84" s="5">
        <f t="shared" si="2"/>
        <v>750</v>
      </c>
      <c r="G84" s="18" t="s">
        <v>73</v>
      </c>
      <c r="H84" s="5">
        <v>1362.35</v>
      </c>
      <c r="I84" s="8">
        <f t="shared" si="3"/>
        <v>823.5</v>
      </c>
      <c r="J84" s="8"/>
      <c r="K84" s="3"/>
      <c r="L84" s="3"/>
      <c r="M84" s="3"/>
      <c r="N84" s="3"/>
      <c r="O84" s="4">
        <f t="shared" si="4"/>
        <v>203529</v>
      </c>
      <c r="P84" s="3">
        <f t="shared" si="17"/>
        <v>204352.5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17"/>
      <c r="B85" s="17" t="s">
        <v>75</v>
      </c>
      <c r="C85" s="5">
        <v>150.0</v>
      </c>
      <c r="D85" s="5">
        <v>1349.67</v>
      </c>
      <c r="E85" s="8">
        <f t="shared" si="11"/>
        <v>1354.67</v>
      </c>
      <c r="F85" s="5">
        <f t="shared" si="2"/>
        <v>750</v>
      </c>
      <c r="G85" s="18" t="s">
        <v>75</v>
      </c>
      <c r="H85" s="5">
        <v>1354.14</v>
      </c>
      <c r="I85" s="8">
        <f t="shared" si="3"/>
        <v>670.5</v>
      </c>
      <c r="J85" s="8"/>
      <c r="K85" s="3"/>
      <c r="L85" s="3"/>
      <c r="M85" s="3"/>
      <c r="N85" s="3"/>
      <c r="O85" s="4">
        <f t="shared" si="4"/>
        <v>202450.5</v>
      </c>
      <c r="P85" s="3">
        <f t="shared" si="17"/>
        <v>203121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17"/>
      <c r="B86" s="17" t="s">
        <v>76</v>
      </c>
      <c r="C86" s="5">
        <v>150.0</v>
      </c>
      <c r="D86" s="5">
        <v>1353.66</v>
      </c>
      <c r="E86" s="8">
        <f t="shared" si="11"/>
        <v>1358.66</v>
      </c>
      <c r="F86" s="5">
        <f t="shared" si="2"/>
        <v>750</v>
      </c>
      <c r="G86" s="18" t="s">
        <v>73</v>
      </c>
      <c r="H86" s="5">
        <v>1362.35</v>
      </c>
      <c r="I86" s="8">
        <f t="shared" si="3"/>
        <v>1303.5</v>
      </c>
      <c r="J86" s="8"/>
      <c r="K86" s="3"/>
      <c r="L86" s="3"/>
      <c r="M86" s="3"/>
      <c r="N86" s="3"/>
      <c r="O86" s="4">
        <f t="shared" si="4"/>
        <v>203049</v>
      </c>
      <c r="P86" s="3">
        <f t="shared" si="17"/>
        <v>204352.5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17"/>
      <c r="B87" s="17" t="s">
        <v>77</v>
      </c>
      <c r="C87" s="5">
        <v>150.0</v>
      </c>
      <c r="D87" s="5">
        <v>1356.0</v>
      </c>
      <c r="E87" s="8">
        <f t="shared" si="11"/>
        <v>1361</v>
      </c>
      <c r="F87" s="5">
        <f t="shared" si="2"/>
        <v>750</v>
      </c>
      <c r="G87" s="18" t="s">
        <v>73</v>
      </c>
      <c r="H87" s="5">
        <v>1362.35</v>
      </c>
      <c r="I87" s="8">
        <f t="shared" si="3"/>
        <v>952.5</v>
      </c>
      <c r="J87" s="8"/>
      <c r="K87" s="3"/>
      <c r="L87" s="3"/>
      <c r="M87" s="3"/>
      <c r="N87" s="3"/>
      <c r="O87" s="4">
        <f t="shared" si="4"/>
        <v>203400</v>
      </c>
      <c r="P87" s="3">
        <f t="shared" si="17"/>
        <v>204352.5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17"/>
      <c r="B88" s="17" t="s">
        <v>77</v>
      </c>
      <c r="C88" s="5">
        <v>150.0</v>
      </c>
      <c r="D88" s="5">
        <v>1359.29</v>
      </c>
      <c r="E88" s="8">
        <f t="shared" si="11"/>
        <v>1364.29</v>
      </c>
      <c r="F88" s="5">
        <f t="shared" si="2"/>
        <v>750</v>
      </c>
      <c r="G88" s="18" t="s">
        <v>78</v>
      </c>
      <c r="H88" s="5">
        <v>1364.55</v>
      </c>
      <c r="I88" s="8">
        <f t="shared" si="3"/>
        <v>789</v>
      </c>
      <c r="J88" s="8"/>
      <c r="K88" s="3"/>
      <c r="L88" s="3"/>
      <c r="M88" s="3"/>
      <c r="N88" s="3"/>
      <c r="O88" s="4">
        <f t="shared" si="4"/>
        <v>203893.5</v>
      </c>
      <c r="P88" s="3">
        <f t="shared" si="17"/>
        <v>204682.5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17"/>
      <c r="B89" s="17" t="s">
        <v>73</v>
      </c>
      <c r="C89" s="5">
        <v>150.0</v>
      </c>
      <c r="D89" s="5">
        <v>1357.15</v>
      </c>
      <c r="E89" s="8">
        <f t="shared" si="11"/>
        <v>1362.15</v>
      </c>
      <c r="F89" s="5">
        <f t="shared" si="2"/>
        <v>750</v>
      </c>
      <c r="G89" s="18" t="s">
        <v>78</v>
      </c>
      <c r="H89" s="5">
        <v>1364.55</v>
      </c>
      <c r="I89" s="8">
        <f t="shared" si="3"/>
        <v>1110</v>
      </c>
      <c r="J89" s="8"/>
      <c r="K89" s="3"/>
      <c r="L89" s="3"/>
      <c r="M89" s="3"/>
      <c r="N89" s="3"/>
      <c r="O89" s="4">
        <f t="shared" si="4"/>
        <v>203572.5</v>
      </c>
      <c r="P89" s="3">
        <f t="shared" si="17"/>
        <v>204682.5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17"/>
      <c r="B90" s="17" t="s">
        <v>78</v>
      </c>
      <c r="C90" s="5">
        <v>150.0</v>
      </c>
      <c r="D90" s="5">
        <v>1361.94</v>
      </c>
      <c r="E90" s="8">
        <f t="shared" si="11"/>
        <v>1366.94</v>
      </c>
      <c r="F90" s="5">
        <f t="shared" si="2"/>
        <v>750</v>
      </c>
      <c r="G90" s="18" t="s">
        <v>68</v>
      </c>
      <c r="H90" s="8">
        <v>1368.48</v>
      </c>
      <c r="I90" s="8">
        <f t="shared" si="3"/>
        <v>981</v>
      </c>
      <c r="J90" s="8"/>
      <c r="K90" s="3"/>
      <c r="L90" s="3"/>
      <c r="M90" s="3"/>
      <c r="N90" s="3"/>
      <c r="O90" s="4">
        <f t="shared" si="4"/>
        <v>204291</v>
      </c>
      <c r="P90" s="3">
        <f t="shared" si="17"/>
        <v>205272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17"/>
      <c r="B91" s="17" t="s">
        <v>79</v>
      </c>
      <c r="C91" s="5">
        <v>150.0</v>
      </c>
      <c r="D91" s="5">
        <v>1363.04</v>
      </c>
      <c r="E91" s="8">
        <f t="shared" si="11"/>
        <v>1368.04</v>
      </c>
      <c r="F91" s="5">
        <f t="shared" si="2"/>
        <v>750</v>
      </c>
      <c r="G91" s="18" t="s">
        <v>68</v>
      </c>
      <c r="H91" s="8">
        <v>1368.48</v>
      </c>
      <c r="I91" s="8">
        <f t="shared" si="3"/>
        <v>816</v>
      </c>
      <c r="J91" s="8"/>
      <c r="K91" s="3"/>
      <c r="L91" s="3"/>
      <c r="M91" s="3"/>
      <c r="N91" s="3"/>
      <c r="O91" s="4">
        <f t="shared" si="4"/>
        <v>204456</v>
      </c>
      <c r="P91" s="3">
        <f t="shared" si="17"/>
        <v>205272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17"/>
      <c r="B92" s="17" t="s">
        <v>68</v>
      </c>
      <c r="C92" s="8">
        <v>150.0</v>
      </c>
      <c r="D92" s="8">
        <v>1364.93</v>
      </c>
      <c r="E92" s="8">
        <f t="shared" si="11"/>
        <v>1369.93</v>
      </c>
      <c r="F92" s="8">
        <f t="shared" si="2"/>
        <v>750</v>
      </c>
      <c r="G92" s="18" t="s">
        <v>67</v>
      </c>
      <c r="H92" s="8">
        <v>1374.37</v>
      </c>
      <c r="I92" s="8">
        <f t="shared" si="3"/>
        <v>1416</v>
      </c>
      <c r="J92" s="8"/>
      <c r="K92" s="3"/>
      <c r="L92" s="3"/>
      <c r="M92" s="3"/>
      <c r="N92" s="3"/>
      <c r="O92" s="4">
        <f t="shared" si="4"/>
        <v>204739.5</v>
      </c>
      <c r="P92" s="3">
        <f t="shared" si="17"/>
        <v>206155.5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17"/>
      <c r="B93" s="17" t="s">
        <v>67</v>
      </c>
      <c r="C93" s="8">
        <v>150.0</v>
      </c>
      <c r="D93" s="8">
        <v>1367.25</v>
      </c>
      <c r="E93" s="8">
        <f t="shared" si="11"/>
        <v>1372.25</v>
      </c>
      <c r="F93" s="8">
        <f t="shared" si="2"/>
        <v>750</v>
      </c>
      <c r="G93" s="18" t="s">
        <v>80</v>
      </c>
      <c r="H93" s="8">
        <v>1373.6</v>
      </c>
      <c r="I93" s="8">
        <f t="shared" si="3"/>
        <v>952.5</v>
      </c>
      <c r="J93" s="8"/>
      <c r="K93" s="3"/>
      <c r="L93" s="3"/>
      <c r="M93" s="3"/>
      <c r="N93" s="3"/>
      <c r="O93" s="4">
        <f t="shared" si="4"/>
        <v>205087.5</v>
      </c>
      <c r="P93" s="3">
        <f t="shared" si="17"/>
        <v>206040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17"/>
      <c r="B94" s="17" t="s">
        <v>80</v>
      </c>
      <c r="C94" s="8">
        <v>150.0</v>
      </c>
      <c r="D94" s="8">
        <v>1373.38</v>
      </c>
      <c r="E94" s="8">
        <f t="shared" si="11"/>
        <v>1378.38</v>
      </c>
      <c r="F94" s="8">
        <f t="shared" si="2"/>
        <v>750</v>
      </c>
      <c r="G94" s="18" t="s">
        <v>81</v>
      </c>
      <c r="H94" s="8">
        <v>1378.39</v>
      </c>
      <c r="I94" s="8">
        <f t="shared" si="3"/>
        <v>751.5</v>
      </c>
      <c r="J94" s="8"/>
      <c r="K94" s="3"/>
      <c r="L94" s="3"/>
      <c r="M94" s="3"/>
      <c r="N94" s="3"/>
      <c r="O94" s="4">
        <f t="shared" si="4"/>
        <v>206007</v>
      </c>
      <c r="P94" s="3">
        <f t="shared" si="17"/>
        <v>206758.5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17"/>
      <c r="B95" s="17" t="s">
        <v>82</v>
      </c>
      <c r="C95" s="8">
        <v>150.0</v>
      </c>
      <c r="D95" s="8">
        <v>1374.78</v>
      </c>
      <c r="E95" s="8">
        <f t="shared" si="11"/>
        <v>1379.78</v>
      </c>
      <c r="F95" s="8">
        <f t="shared" si="2"/>
        <v>750</v>
      </c>
      <c r="G95" s="18" t="s">
        <v>81</v>
      </c>
      <c r="H95" s="8">
        <v>1380.0</v>
      </c>
      <c r="I95" s="8">
        <f t="shared" si="3"/>
        <v>783</v>
      </c>
      <c r="J95" s="8"/>
      <c r="K95" s="3"/>
      <c r="L95" s="3"/>
      <c r="M95" s="3"/>
      <c r="N95" s="3"/>
      <c r="O95" s="4">
        <f t="shared" si="4"/>
        <v>206217</v>
      </c>
      <c r="P95" s="3">
        <f t="shared" si="17"/>
        <v>207000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17"/>
      <c r="B96" s="17" t="s">
        <v>83</v>
      </c>
      <c r="C96" s="8">
        <v>150.0</v>
      </c>
      <c r="D96" s="8">
        <v>1373.55</v>
      </c>
      <c r="E96" s="8">
        <f t="shared" si="11"/>
        <v>1378.55</v>
      </c>
      <c r="F96" s="8">
        <f t="shared" si="2"/>
        <v>750</v>
      </c>
      <c r="G96" s="18" t="s">
        <v>81</v>
      </c>
      <c r="H96" s="8">
        <v>1378.39</v>
      </c>
      <c r="I96" s="8">
        <f t="shared" si="3"/>
        <v>726</v>
      </c>
      <c r="J96" s="8"/>
      <c r="K96" s="3"/>
      <c r="L96" s="3"/>
      <c r="M96" s="3"/>
      <c r="N96" s="3"/>
      <c r="O96" s="4">
        <f t="shared" si="4"/>
        <v>206032.5</v>
      </c>
      <c r="P96" s="3">
        <f t="shared" si="17"/>
        <v>206758.5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17"/>
      <c r="B97" s="17" t="s">
        <v>84</v>
      </c>
      <c r="C97" s="8">
        <v>150.0</v>
      </c>
      <c r="D97" s="8">
        <v>1377.8</v>
      </c>
      <c r="E97" s="8">
        <f t="shared" si="11"/>
        <v>1382.8</v>
      </c>
      <c r="F97" s="8">
        <f t="shared" si="2"/>
        <v>750</v>
      </c>
      <c r="G97" s="18" t="s">
        <v>85</v>
      </c>
      <c r="H97" s="8">
        <v>1382.9</v>
      </c>
      <c r="I97" s="8">
        <f t="shared" si="3"/>
        <v>765</v>
      </c>
      <c r="J97" s="8"/>
      <c r="K97" s="3"/>
      <c r="L97" s="3"/>
      <c r="M97" s="3"/>
      <c r="N97" s="3"/>
      <c r="O97" s="4">
        <f t="shared" si="4"/>
        <v>206670</v>
      </c>
      <c r="P97" s="3">
        <f t="shared" si="17"/>
        <v>207435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17"/>
      <c r="B98" s="17" t="s">
        <v>85</v>
      </c>
      <c r="C98" s="8">
        <v>150.0</v>
      </c>
      <c r="D98" s="8">
        <v>1381.01</v>
      </c>
      <c r="E98" s="8">
        <f t="shared" si="11"/>
        <v>1386.01</v>
      </c>
      <c r="F98" s="8">
        <f t="shared" si="2"/>
        <v>750</v>
      </c>
      <c r="G98" s="18" t="s">
        <v>86</v>
      </c>
      <c r="H98" s="8">
        <v>1386.11</v>
      </c>
      <c r="I98" s="8">
        <f t="shared" si="3"/>
        <v>765</v>
      </c>
      <c r="J98" s="8"/>
      <c r="K98" s="3"/>
      <c r="L98" s="3"/>
      <c r="M98" s="3"/>
      <c r="N98" s="3"/>
      <c r="O98" s="4">
        <f t="shared" si="4"/>
        <v>207151.5</v>
      </c>
      <c r="P98" s="3">
        <f t="shared" si="17"/>
        <v>207916.5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17"/>
      <c r="B99" s="17" t="s">
        <v>86</v>
      </c>
      <c r="C99" s="8">
        <v>150.0</v>
      </c>
      <c r="D99" s="8">
        <v>1385.82</v>
      </c>
      <c r="E99" s="8">
        <f t="shared" si="11"/>
        <v>1390.82</v>
      </c>
      <c r="F99" s="8">
        <f t="shared" si="2"/>
        <v>750</v>
      </c>
      <c r="G99" s="18" t="s">
        <v>87</v>
      </c>
      <c r="H99" s="8">
        <v>1390.74</v>
      </c>
      <c r="I99" s="8">
        <f t="shared" si="3"/>
        <v>738</v>
      </c>
      <c r="J99" s="8"/>
      <c r="K99" s="3"/>
      <c r="L99" s="3"/>
      <c r="M99" s="3"/>
      <c r="N99" s="3"/>
      <c r="O99" s="4">
        <f t="shared" si="4"/>
        <v>207873</v>
      </c>
      <c r="P99" s="3">
        <f t="shared" si="17"/>
        <v>208611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17"/>
      <c r="B100" s="17" t="s">
        <v>88</v>
      </c>
      <c r="C100" s="1">
        <v>150.0</v>
      </c>
      <c r="D100" s="1">
        <v>1390.9</v>
      </c>
      <c r="E100" s="8">
        <f t="shared" si="11"/>
        <v>1395.9</v>
      </c>
      <c r="F100" s="8">
        <f t="shared" si="2"/>
        <v>750</v>
      </c>
      <c r="G100" s="18" t="s">
        <v>89</v>
      </c>
      <c r="H100" s="1">
        <v>1395.94</v>
      </c>
      <c r="I100" s="8">
        <f t="shared" si="3"/>
        <v>756</v>
      </c>
      <c r="J100" s="8"/>
      <c r="K100" s="3"/>
      <c r="L100" s="3"/>
      <c r="M100" s="3"/>
      <c r="N100" s="3"/>
      <c r="O100" s="4">
        <f t="shared" si="4"/>
        <v>208635</v>
      </c>
      <c r="P100" s="3">
        <f t="shared" si="17"/>
        <v>209391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17"/>
      <c r="B101" s="17" t="s">
        <v>90</v>
      </c>
      <c r="C101" s="1">
        <v>150.0</v>
      </c>
      <c r="D101" s="1">
        <v>1391.53</v>
      </c>
      <c r="E101" s="8">
        <f t="shared" si="11"/>
        <v>1396.53</v>
      </c>
      <c r="F101" s="8">
        <f t="shared" si="2"/>
        <v>750</v>
      </c>
      <c r="G101" s="18" t="s">
        <v>89</v>
      </c>
      <c r="H101" s="1">
        <v>1398.91</v>
      </c>
      <c r="I101" s="8">
        <f t="shared" si="3"/>
        <v>1107</v>
      </c>
      <c r="J101" s="8"/>
      <c r="K101" s="3"/>
      <c r="L101" s="3"/>
      <c r="M101" s="3"/>
      <c r="N101" s="3"/>
      <c r="O101" s="4">
        <f t="shared" si="4"/>
        <v>208729.5</v>
      </c>
      <c r="P101" s="3">
        <f t="shared" si="17"/>
        <v>209836.5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17"/>
      <c r="B102" s="17" t="s">
        <v>91</v>
      </c>
      <c r="C102" s="1">
        <v>150.0</v>
      </c>
      <c r="D102" s="1">
        <v>1386.77</v>
      </c>
      <c r="E102" s="8">
        <f t="shared" si="11"/>
        <v>1391.77</v>
      </c>
      <c r="F102" s="8">
        <f t="shared" si="2"/>
        <v>750</v>
      </c>
      <c r="G102" s="18" t="s">
        <v>92</v>
      </c>
      <c r="H102" s="1">
        <v>1391.75</v>
      </c>
      <c r="I102" s="8">
        <f t="shared" si="3"/>
        <v>747</v>
      </c>
      <c r="J102" s="8"/>
      <c r="K102" s="3"/>
      <c r="L102" s="3"/>
      <c r="M102" s="3"/>
      <c r="N102" s="3"/>
      <c r="O102" s="4">
        <f t="shared" si="4"/>
        <v>208015.5</v>
      </c>
      <c r="P102" s="3">
        <f t="shared" si="17"/>
        <v>208762.5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17"/>
      <c r="B103" s="17" t="s">
        <v>91</v>
      </c>
      <c r="C103" s="1">
        <v>150.0</v>
      </c>
      <c r="D103" s="1">
        <v>1385.99</v>
      </c>
      <c r="E103" s="8">
        <f t="shared" si="11"/>
        <v>1390.99</v>
      </c>
      <c r="F103" s="8">
        <f t="shared" si="2"/>
        <v>750</v>
      </c>
      <c r="G103" s="18" t="s">
        <v>92</v>
      </c>
      <c r="H103" s="1">
        <v>1390.98</v>
      </c>
      <c r="I103" s="8">
        <f t="shared" si="3"/>
        <v>748.5</v>
      </c>
      <c r="J103" s="8"/>
      <c r="K103" s="3"/>
      <c r="L103" s="3"/>
      <c r="M103" s="3"/>
      <c r="N103" s="3"/>
      <c r="O103" s="4">
        <f t="shared" si="4"/>
        <v>207898.5</v>
      </c>
      <c r="P103" s="3">
        <f t="shared" si="17"/>
        <v>208647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7"/>
      <c r="B104" s="17" t="s">
        <v>77</v>
      </c>
      <c r="C104" s="1">
        <v>150.0</v>
      </c>
      <c r="D104" s="1">
        <v>1384.26</v>
      </c>
      <c r="E104" s="8">
        <f t="shared" si="11"/>
        <v>1389.26</v>
      </c>
      <c r="F104" s="8">
        <f t="shared" si="2"/>
        <v>750</v>
      </c>
      <c r="G104" s="18" t="s">
        <v>92</v>
      </c>
      <c r="H104" s="1">
        <v>1390.98</v>
      </c>
      <c r="I104" s="8">
        <f t="shared" si="3"/>
        <v>1008</v>
      </c>
      <c r="J104" s="8"/>
      <c r="K104" s="3"/>
      <c r="L104" s="3"/>
      <c r="M104" s="3"/>
      <c r="N104" s="3"/>
      <c r="O104" s="4">
        <f t="shared" si="4"/>
        <v>207639</v>
      </c>
      <c r="P104" s="3">
        <f t="shared" si="17"/>
        <v>208647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17"/>
      <c r="B105" s="17" t="s">
        <v>93</v>
      </c>
      <c r="C105" s="1">
        <v>150.0</v>
      </c>
      <c r="D105" s="1">
        <v>1380.5</v>
      </c>
      <c r="E105" s="8">
        <f t="shared" si="11"/>
        <v>1385.5</v>
      </c>
      <c r="F105" s="8">
        <f t="shared" si="2"/>
        <v>750</v>
      </c>
      <c r="G105" s="18" t="s">
        <v>92</v>
      </c>
      <c r="H105" s="1">
        <v>1390.98</v>
      </c>
      <c r="I105" s="8">
        <f t="shared" si="3"/>
        <v>1572</v>
      </c>
      <c r="J105" s="8"/>
      <c r="K105" s="3"/>
      <c r="L105" s="3"/>
      <c r="M105" s="3"/>
      <c r="N105" s="3"/>
      <c r="O105" s="4">
        <f t="shared" si="4"/>
        <v>207075</v>
      </c>
      <c r="P105" s="3">
        <f t="shared" si="17"/>
        <v>208647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17"/>
      <c r="B106" s="17" t="s">
        <v>94</v>
      </c>
      <c r="C106" s="1">
        <v>150.0</v>
      </c>
      <c r="D106" s="1">
        <v>1377.16</v>
      </c>
      <c r="E106" s="8">
        <f t="shared" si="11"/>
        <v>1382.16</v>
      </c>
      <c r="F106" s="8">
        <f t="shared" si="2"/>
        <v>750</v>
      </c>
      <c r="G106" s="18" t="s">
        <v>77</v>
      </c>
      <c r="H106" s="1">
        <v>1382.43</v>
      </c>
      <c r="I106" s="8">
        <f t="shared" si="3"/>
        <v>790.5</v>
      </c>
      <c r="J106" s="8"/>
      <c r="K106" s="3"/>
      <c r="L106" s="3"/>
      <c r="M106" s="3"/>
      <c r="N106" s="3"/>
      <c r="O106" s="4">
        <f t="shared" si="4"/>
        <v>206574</v>
      </c>
      <c r="P106" s="3">
        <f t="shared" si="17"/>
        <v>207364.5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17"/>
      <c r="B107" s="17" t="s">
        <v>94</v>
      </c>
      <c r="C107" s="1">
        <v>32.0</v>
      </c>
      <c r="D107" s="1">
        <v>1365.99</v>
      </c>
      <c r="E107" s="8">
        <f t="shared" si="11"/>
        <v>1370.99</v>
      </c>
      <c r="F107" s="8">
        <f t="shared" si="2"/>
        <v>160</v>
      </c>
      <c r="G107" s="18" t="s">
        <v>94</v>
      </c>
      <c r="H107" s="1">
        <v>1372.74</v>
      </c>
      <c r="I107" s="8">
        <f t="shared" si="3"/>
        <v>216</v>
      </c>
      <c r="J107" s="8"/>
      <c r="K107" s="3"/>
      <c r="L107" s="3"/>
      <c r="M107" s="3"/>
      <c r="N107" s="3"/>
      <c r="O107" s="4">
        <f t="shared" si="4"/>
        <v>43711.68</v>
      </c>
      <c r="P107" s="3">
        <f t="shared" si="17"/>
        <v>43927.68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17"/>
      <c r="B108" s="17" t="s">
        <v>73</v>
      </c>
      <c r="C108" s="1">
        <v>150.0</v>
      </c>
      <c r="D108" s="1">
        <v>1383.59</v>
      </c>
      <c r="E108" s="8">
        <f t="shared" si="11"/>
        <v>1388.59</v>
      </c>
      <c r="F108" s="8">
        <f t="shared" si="2"/>
        <v>750</v>
      </c>
      <c r="G108" s="18" t="s">
        <v>95</v>
      </c>
      <c r="H108" s="1">
        <v>1394.16</v>
      </c>
      <c r="I108" s="8">
        <f t="shared" si="3"/>
        <v>1585.5</v>
      </c>
      <c r="J108" s="8"/>
      <c r="K108" s="3"/>
      <c r="L108" s="3"/>
      <c r="M108" s="3"/>
      <c r="N108" s="3"/>
      <c r="O108" s="4">
        <f t="shared" si="4"/>
        <v>207538.5</v>
      </c>
      <c r="P108" s="3">
        <f t="shared" si="17"/>
        <v>209124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17"/>
      <c r="B109" s="17">
        <v>20257.31</v>
      </c>
      <c r="C109" s="1">
        <v>150.0</v>
      </c>
      <c r="D109" s="1">
        <v>1389.23</v>
      </c>
      <c r="E109" s="8">
        <f t="shared" si="11"/>
        <v>1394.23</v>
      </c>
      <c r="F109" s="8">
        <f t="shared" si="2"/>
        <v>750</v>
      </c>
      <c r="G109" s="18" t="s">
        <v>95</v>
      </c>
      <c r="H109" s="1">
        <v>1394.59</v>
      </c>
      <c r="I109" s="8">
        <f t="shared" si="3"/>
        <v>804</v>
      </c>
      <c r="J109" s="8"/>
      <c r="K109" s="3"/>
      <c r="L109" s="3"/>
      <c r="M109" s="3"/>
      <c r="N109" s="3"/>
      <c r="O109" s="4">
        <f t="shared" si="4"/>
        <v>208384.5</v>
      </c>
      <c r="P109" s="3">
        <f t="shared" si="17"/>
        <v>209188.5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17"/>
      <c r="B110" s="17" t="s">
        <v>89</v>
      </c>
      <c r="C110" s="1">
        <v>150.0</v>
      </c>
      <c r="D110" s="1">
        <v>1392.24</v>
      </c>
      <c r="E110" s="8">
        <f t="shared" si="11"/>
        <v>1397.24</v>
      </c>
      <c r="F110" s="8">
        <f t="shared" si="2"/>
        <v>750</v>
      </c>
      <c r="G110" s="18" t="s">
        <v>89</v>
      </c>
      <c r="H110" s="1">
        <v>1398.91</v>
      </c>
      <c r="I110" s="8">
        <f t="shared" si="3"/>
        <v>1000.5</v>
      </c>
      <c r="J110" s="8"/>
      <c r="K110" s="3"/>
      <c r="L110" s="3"/>
      <c r="M110" s="3"/>
      <c r="N110" s="3"/>
      <c r="O110" s="4">
        <f t="shared" si="4"/>
        <v>208836</v>
      </c>
      <c r="P110" s="3">
        <f t="shared" si="17"/>
        <v>209836.5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17"/>
      <c r="B111" s="17" t="s">
        <v>96</v>
      </c>
      <c r="C111" s="1">
        <v>150.0</v>
      </c>
      <c r="D111" s="1">
        <v>1388.5</v>
      </c>
      <c r="E111" s="8">
        <f t="shared" si="11"/>
        <v>1393.5</v>
      </c>
      <c r="F111" s="8">
        <f t="shared" si="2"/>
        <v>750</v>
      </c>
      <c r="G111" s="18" t="s">
        <v>97</v>
      </c>
      <c r="H111" s="1">
        <v>1396.3</v>
      </c>
      <c r="I111" s="8">
        <f t="shared" si="3"/>
        <v>1170</v>
      </c>
      <c r="J111" s="8"/>
      <c r="K111" s="3"/>
      <c r="L111" s="3"/>
      <c r="M111" s="3"/>
      <c r="N111" s="3"/>
      <c r="O111" s="4">
        <f t="shared" si="4"/>
        <v>208275</v>
      </c>
      <c r="P111" s="3">
        <f t="shared" si="17"/>
        <v>209445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17"/>
      <c r="B112" s="17" t="s">
        <v>98</v>
      </c>
      <c r="C112" s="1">
        <v>150.0</v>
      </c>
      <c r="D112" s="1">
        <v>1388.43</v>
      </c>
      <c r="E112" s="8">
        <f t="shared" si="11"/>
        <v>1393.43</v>
      </c>
      <c r="F112" s="8">
        <f t="shared" si="2"/>
        <v>750</v>
      </c>
      <c r="G112" s="18" t="s">
        <v>97</v>
      </c>
      <c r="H112" s="1">
        <v>1396.3</v>
      </c>
      <c r="I112" s="8">
        <f t="shared" si="3"/>
        <v>1180.5</v>
      </c>
      <c r="J112" s="8"/>
      <c r="K112" s="3"/>
      <c r="L112" s="3"/>
      <c r="M112" s="3"/>
      <c r="N112" s="3"/>
      <c r="O112" s="4">
        <f t="shared" si="4"/>
        <v>208264.5</v>
      </c>
      <c r="P112" s="3">
        <f t="shared" si="17"/>
        <v>209445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17"/>
      <c r="B113" s="17" t="s">
        <v>99</v>
      </c>
      <c r="C113" s="1">
        <v>150.0</v>
      </c>
      <c r="D113" s="1">
        <v>1385.2</v>
      </c>
      <c r="E113" s="8">
        <f t="shared" si="11"/>
        <v>1390.2</v>
      </c>
      <c r="F113" s="8">
        <f t="shared" si="2"/>
        <v>750</v>
      </c>
      <c r="G113" s="18" t="s">
        <v>100</v>
      </c>
      <c r="H113" s="1">
        <v>1390.0</v>
      </c>
      <c r="I113" s="8">
        <f t="shared" si="3"/>
        <v>720</v>
      </c>
      <c r="J113" s="8"/>
      <c r="K113" s="3"/>
      <c r="L113" s="3"/>
      <c r="M113" s="3"/>
      <c r="N113" s="3"/>
      <c r="O113" s="4">
        <f t="shared" si="4"/>
        <v>207780</v>
      </c>
      <c r="P113" s="3">
        <f t="shared" si="17"/>
        <v>208500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17"/>
      <c r="B114" s="17" t="s">
        <v>99</v>
      </c>
      <c r="C114" s="1">
        <v>150.0</v>
      </c>
      <c r="D114" s="1">
        <v>1386.42</v>
      </c>
      <c r="E114" s="8">
        <f t="shared" si="11"/>
        <v>1391.42</v>
      </c>
      <c r="F114" s="8">
        <f t="shared" si="2"/>
        <v>750</v>
      </c>
      <c r="G114" s="18" t="s">
        <v>97</v>
      </c>
      <c r="H114" s="1">
        <v>1396.3</v>
      </c>
      <c r="I114" s="8">
        <f t="shared" si="3"/>
        <v>1482</v>
      </c>
      <c r="J114" s="8"/>
      <c r="K114" s="3"/>
      <c r="L114" s="3"/>
      <c r="M114" s="3"/>
      <c r="N114" s="3"/>
      <c r="O114" s="4">
        <f t="shared" si="4"/>
        <v>207963</v>
      </c>
      <c r="P114" s="3">
        <f t="shared" si="17"/>
        <v>209445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7"/>
      <c r="B115" s="17" t="s">
        <v>101</v>
      </c>
      <c r="C115" s="1">
        <v>150.0</v>
      </c>
      <c r="D115" s="1">
        <v>1383.96</v>
      </c>
      <c r="E115" s="8">
        <f t="shared" si="11"/>
        <v>1388.96</v>
      </c>
      <c r="F115" s="8">
        <f t="shared" si="2"/>
        <v>750</v>
      </c>
      <c r="G115" s="18" t="s">
        <v>102</v>
      </c>
      <c r="H115" s="1">
        <v>1389.55</v>
      </c>
      <c r="I115" s="8">
        <f t="shared" si="3"/>
        <v>838.5</v>
      </c>
      <c r="J115" s="8"/>
      <c r="K115" s="3"/>
      <c r="L115" s="3"/>
      <c r="M115" s="3"/>
      <c r="N115" s="3"/>
      <c r="O115" s="4">
        <f t="shared" si="4"/>
        <v>207594</v>
      </c>
      <c r="P115" s="3">
        <f t="shared" si="17"/>
        <v>208432.5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17"/>
      <c r="B116" s="17" t="s">
        <v>102</v>
      </c>
      <c r="C116" s="1">
        <v>150.0</v>
      </c>
      <c r="D116" s="1">
        <v>1387.35</v>
      </c>
      <c r="E116" s="8">
        <f t="shared" si="11"/>
        <v>1392.35</v>
      </c>
      <c r="F116" s="8">
        <f t="shared" si="2"/>
        <v>750</v>
      </c>
      <c r="G116" s="18" t="s">
        <v>97</v>
      </c>
      <c r="H116" s="1">
        <v>1396.3</v>
      </c>
      <c r="I116" s="8">
        <f t="shared" si="3"/>
        <v>1342.5</v>
      </c>
      <c r="J116" s="8"/>
      <c r="K116" s="3"/>
      <c r="L116" s="3"/>
      <c r="M116" s="3"/>
      <c r="N116" s="3"/>
      <c r="O116" s="4">
        <f t="shared" si="4"/>
        <v>208102.5</v>
      </c>
      <c r="P116" s="3">
        <f t="shared" si="17"/>
        <v>209445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17"/>
      <c r="B117" s="17" t="s">
        <v>103</v>
      </c>
      <c r="C117" s="1">
        <v>150.0</v>
      </c>
      <c r="D117" s="1">
        <v>1389.1</v>
      </c>
      <c r="E117" s="8">
        <f t="shared" si="11"/>
        <v>1394.1</v>
      </c>
      <c r="F117" s="8">
        <f t="shared" si="2"/>
        <v>750</v>
      </c>
      <c r="G117" s="18" t="s">
        <v>97</v>
      </c>
      <c r="H117" s="1">
        <v>1396.3</v>
      </c>
      <c r="I117" s="8">
        <f t="shared" si="3"/>
        <v>1080</v>
      </c>
      <c r="J117" s="8"/>
      <c r="K117" s="3"/>
      <c r="L117" s="3"/>
      <c r="M117" s="3"/>
      <c r="N117" s="3"/>
      <c r="O117" s="4">
        <f t="shared" si="4"/>
        <v>208365</v>
      </c>
      <c r="P117" s="3">
        <f t="shared" si="17"/>
        <v>209445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17"/>
      <c r="B118" s="17" t="s">
        <v>104</v>
      </c>
      <c r="C118" s="1">
        <v>150.0</v>
      </c>
      <c r="D118" s="1">
        <v>1386.52</v>
      </c>
      <c r="E118" s="8">
        <f t="shared" si="11"/>
        <v>1391.52</v>
      </c>
      <c r="F118" s="8">
        <f t="shared" si="2"/>
        <v>750</v>
      </c>
      <c r="G118" s="18" t="s">
        <v>105</v>
      </c>
      <c r="H118" s="1">
        <v>1391.43</v>
      </c>
      <c r="I118" s="8">
        <f t="shared" si="3"/>
        <v>736.5</v>
      </c>
      <c r="J118" s="8"/>
      <c r="K118" s="3"/>
      <c r="L118" s="3"/>
      <c r="M118" s="3"/>
      <c r="N118" s="3"/>
      <c r="O118" s="4">
        <f t="shared" si="4"/>
        <v>207978</v>
      </c>
      <c r="P118" s="3">
        <f t="shared" si="17"/>
        <v>208714.5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17"/>
      <c r="B119" s="17" t="s">
        <v>105</v>
      </c>
      <c r="C119" s="1">
        <v>150.0</v>
      </c>
      <c r="D119" s="1">
        <v>1391.46</v>
      </c>
      <c r="E119" s="8">
        <f t="shared" si="11"/>
        <v>1396.46</v>
      </c>
      <c r="F119" s="8">
        <f t="shared" si="2"/>
        <v>750</v>
      </c>
      <c r="G119" s="18" t="s">
        <v>97</v>
      </c>
      <c r="H119" s="1">
        <v>1398.31</v>
      </c>
      <c r="I119" s="8">
        <f t="shared" si="3"/>
        <v>1027.5</v>
      </c>
      <c r="J119" s="8"/>
      <c r="K119" s="3"/>
      <c r="L119" s="3"/>
      <c r="M119" s="3"/>
      <c r="N119" s="3"/>
      <c r="O119" s="4">
        <f t="shared" si="4"/>
        <v>208719</v>
      </c>
      <c r="P119" s="3">
        <f t="shared" si="17"/>
        <v>209746.5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17"/>
      <c r="B120" s="17" t="s">
        <v>105</v>
      </c>
      <c r="C120" s="1">
        <v>150.0</v>
      </c>
      <c r="D120" s="1">
        <v>1389.96</v>
      </c>
      <c r="E120" s="8">
        <f t="shared" si="11"/>
        <v>1394.96</v>
      </c>
      <c r="F120" s="8">
        <f t="shared" si="2"/>
        <v>750</v>
      </c>
      <c r="G120" s="18" t="s">
        <v>97</v>
      </c>
      <c r="H120" s="1">
        <v>1396.3</v>
      </c>
      <c r="I120" s="8">
        <f t="shared" si="3"/>
        <v>951</v>
      </c>
      <c r="J120" s="8"/>
      <c r="K120" s="3"/>
      <c r="L120" s="3"/>
      <c r="M120" s="3"/>
      <c r="N120" s="3"/>
      <c r="O120" s="4">
        <f t="shared" si="4"/>
        <v>208494</v>
      </c>
      <c r="P120" s="3">
        <f t="shared" si="17"/>
        <v>209445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17"/>
      <c r="B121" s="17" t="s">
        <v>106</v>
      </c>
      <c r="C121" s="1">
        <v>150.0</v>
      </c>
      <c r="D121" s="1">
        <v>1384.78</v>
      </c>
      <c r="E121" s="8">
        <f t="shared" si="11"/>
        <v>1389.78</v>
      </c>
      <c r="F121" s="8">
        <f t="shared" si="2"/>
        <v>750</v>
      </c>
      <c r="G121" s="18" t="s">
        <v>107</v>
      </c>
      <c r="H121" s="1">
        <v>1389.12</v>
      </c>
      <c r="I121" s="8">
        <f t="shared" si="3"/>
        <v>651</v>
      </c>
      <c r="J121" s="8"/>
      <c r="K121" s="3"/>
      <c r="L121" s="3"/>
      <c r="M121" s="3"/>
      <c r="N121" s="3"/>
      <c r="O121" s="4">
        <f t="shared" si="4"/>
        <v>207717</v>
      </c>
      <c r="P121" s="3">
        <f t="shared" si="17"/>
        <v>208368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7"/>
      <c r="B122" s="17" t="s">
        <v>106</v>
      </c>
      <c r="C122" s="1">
        <v>150.0</v>
      </c>
      <c r="D122" s="1">
        <v>1380.05</v>
      </c>
      <c r="E122" s="8">
        <f t="shared" si="11"/>
        <v>1385.05</v>
      </c>
      <c r="F122" s="8">
        <f t="shared" si="2"/>
        <v>750</v>
      </c>
      <c r="G122" s="18" t="s">
        <v>108</v>
      </c>
      <c r="H122" s="1">
        <v>1385.0</v>
      </c>
      <c r="I122" s="8">
        <f t="shared" si="3"/>
        <v>742.5</v>
      </c>
      <c r="J122" s="8"/>
      <c r="K122" s="3"/>
      <c r="L122" s="3"/>
      <c r="M122" s="3"/>
      <c r="N122" s="3"/>
      <c r="O122" s="4">
        <f t="shared" si="4"/>
        <v>207007.5</v>
      </c>
      <c r="P122" s="3">
        <f t="shared" si="17"/>
        <v>207750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7"/>
      <c r="B123" s="17" t="s">
        <v>106</v>
      </c>
      <c r="C123" s="1">
        <v>150.0</v>
      </c>
      <c r="D123" s="1">
        <v>1383.06</v>
      </c>
      <c r="E123" s="8">
        <f t="shared" si="11"/>
        <v>1388.06</v>
      </c>
      <c r="F123" s="8">
        <f t="shared" si="2"/>
        <v>750</v>
      </c>
      <c r="G123" s="18" t="s">
        <v>107</v>
      </c>
      <c r="H123" s="1">
        <v>1388.84</v>
      </c>
      <c r="I123" s="8">
        <f t="shared" si="3"/>
        <v>867</v>
      </c>
      <c r="J123" s="8"/>
      <c r="K123" s="3"/>
      <c r="L123" s="3"/>
      <c r="M123" s="3"/>
      <c r="N123" s="3"/>
      <c r="O123" s="4">
        <f t="shared" si="4"/>
        <v>207459</v>
      </c>
      <c r="P123" s="3">
        <f t="shared" si="17"/>
        <v>208326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7"/>
      <c r="B124" s="17" t="s">
        <v>107</v>
      </c>
      <c r="C124" s="1">
        <v>150.0</v>
      </c>
      <c r="D124" s="1">
        <v>1387.8</v>
      </c>
      <c r="E124" s="8">
        <f t="shared" si="11"/>
        <v>1392.8</v>
      </c>
      <c r="F124" s="8">
        <f t="shared" si="2"/>
        <v>750</v>
      </c>
      <c r="G124" s="18" t="s">
        <v>97</v>
      </c>
      <c r="H124" s="1">
        <v>1396.3</v>
      </c>
      <c r="I124" s="8">
        <f t="shared" si="3"/>
        <v>1275</v>
      </c>
      <c r="J124" s="8"/>
      <c r="K124" s="3"/>
      <c r="L124" s="3"/>
      <c r="M124" s="3"/>
      <c r="N124" s="3"/>
      <c r="O124" s="4">
        <f t="shared" si="4"/>
        <v>208170</v>
      </c>
      <c r="P124" s="3">
        <f t="shared" si="17"/>
        <v>209445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7"/>
      <c r="B125" s="17" t="s">
        <v>109</v>
      </c>
      <c r="C125" s="1">
        <v>150.0</v>
      </c>
      <c r="D125" s="1">
        <v>1387.45</v>
      </c>
      <c r="E125" s="8">
        <f t="shared" si="11"/>
        <v>1392.45</v>
      </c>
      <c r="F125" s="8">
        <f t="shared" si="2"/>
        <v>750</v>
      </c>
      <c r="G125" s="18" t="s">
        <v>97</v>
      </c>
      <c r="H125" s="1">
        <v>1396.3</v>
      </c>
      <c r="I125" s="8">
        <f t="shared" si="3"/>
        <v>1327.5</v>
      </c>
      <c r="J125" s="8"/>
      <c r="K125" s="3"/>
      <c r="L125" s="3"/>
      <c r="M125" s="3"/>
      <c r="N125" s="3"/>
      <c r="O125" s="4">
        <f t="shared" si="4"/>
        <v>208117.5</v>
      </c>
      <c r="P125" s="3">
        <f t="shared" si="17"/>
        <v>209445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7"/>
      <c r="B126" s="17" t="s">
        <v>109</v>
      </c>
      <c r="C126" s="1">
        <v>150.0</v>
      </c>
      <c r="D126" s="1">
        <v>1384.2</v>
      </c>
      <c r="E126" s="8">
        <f t="shared" si="11"/>
        <v>1389.2</v>
      </c>
      <c r="F126" s="8">
        <f t="shared" si="2"/>
        <v>750</v>
      </c>
      <c r="G126" s="18" t="s">
        <v>110</v>
      </c>
      <c r="H126" s="1">
        <v>1390.39</v>
      </c>
      <c r="I126" s="8">
        <f t="shared" si="3"/>
        <v>928.5</v>
      </c>
      <c r="J126" s="8"/>
      <c r="K126" s="3"/>
      <c r="L126" s="3"/>
      <c r="M126" s="3"/>
      <c r="N126" s="3"/>
      <c r="O126" s="4">
        <f t="shared" si="4"/>
        <v>207630</v>
      </c>
      <c r="P126" s="3">
        <f t="shared" si="17"/>
        <v>208558.5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7"/>
      <c r="B127" s="17" t="s">
        <v>110</v>
      </c>
      <c r="C127" s="1">
        <v>150.0</v>
      </c>
      <c r="D127" s="1">
        <v>1388.82</v>
      </c>
      <c r="E127" s="8">
        <f t="shared" si="11"/>
        <v>1393.82</v>
      </c>
      <c r="F127" s="8">
        <f t="shared" si="2"/>
        <v>750</v>
      </c>
      <c r="G127" s="18" t="s">
        <v>97</v>
      </c>
      <c r="H127" s="1">
        <v>1396.3</v>
      </c>
      <c r="I127" s="8">
        <f t="shared" si="3"/>
        <v>1122</v>
      </c>
      <c r="J127" s="8"/>
      <c r="K127" s="3"/>
      <c r="L127" s="3"/>
      <c r="M127" s="3"/>
      <c r="N127" s="3"/>
      <c r="O127" s="4">
        <f t="shared" si="4"/>
        <v>208323</v>
      </c>
      <c r="P127" s="3">
        <f t="shared" si="17"/>
        <v>209445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7"/>
      <c r="B128" s="17" t="s">
        <v>111</v>
      </c>
      <c r="C128" s="1">
        <v>200.0</v>
      </c>
      <c r="D128" s="1">
        <v>1396.71</v>
      </c>
      <c r="E128" s="8">
        <f t="shared" si="11"/>
        <v>1401.71</v>
      </c>
      <c r="F128" s="8">
        <f t="shared" si="2"/>
        <v>1000</v>
      </c>
      <c r="G128" s="18" t="s">
        <v>112</v>
      </c>
      <c r="H128" s="1">
        <v>1401.15</v>
      </c>
      <c r="I128" s="8">
        <f t="shared" si="3"/>
        <v>888</v>
      </c>
      <c r="J128" s="8"/>
      <c r="K128" s="3"/>
      <c r="L128" s="3"/>
      <c r="M128" s="3"/>
      <c r="N128" s="3"/>
      <c r="O128" s="4">
        <f t="shared" si="4"/>
        <v>279342</v>
      </c>
      <c r="P128" s="3">
        <f t="shared" si="17"/>
        <v>280230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7"/>
      <c r="B129" s="17" t="s">
        <v>112</v>
      </c>
      <c r="C129" s="1">
        <v>200.0</v>
      </c>
      <c r="D129" s="1">
        <v>1400.02</v>
      </c>
      <c r="E129" s="8">
        <f t="shared" si="11"/>
        <v>1405.02</v>
      </c>
      <c r="F129" s="8">
        <f t="shared" si="2"/>
        <v>1000</v>
      </c>
      <c r="G129" s="18" t="s">
        <v>113</v>
      </c>
      <c r="H129" s="1">
        <v>1405.66</v>
      </c>
      <c r="I129" s="8">
        <f t="shared" si="3"/>
        <v>1128</v>
      </c>
      <c r="J129" s="8"/>
      <c r="K129" s="3"/>
      <c r="L129" s="3"/>
      <c r="M129" s="3"/>
      <c r="N129" s="3"/>
      <c r="O129" s="4">
        <f t="shared" si="4"/>
        <v>280004</v>
      </c>
      <c r="P129" s="3">
        <f t="shared" si="17"/>
        <v>281132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7"/>
      <c r="B130" s="17" t="s">
        <v>112</v>
      </c>
      <c r="C130" s="1">
        <v>200.0</v>
      </c>
      <c r="D130" s="1">
        <v>1393.68</v>
      </c>
      <c r="E130" s="8">
        <f t="shared" si="11"/>
        <v>1398.68</v>
      </c>
      <c r="F130" s="8">
        <f t="shared" si="2"/>
        <v>1000</v>
      </c>
      <c r="G130" s="18" t="s">
        <v>113</v>
      </c>
      <c r="H130" s="1">
        <v>1403.4</v>
      </c>
      <c r="I130" s="8">
        <f t="shared" si="3"/>
        <v>1944</v>
      </c>
      <c r="J130" s="8"/>
      <c r="K130" s="3"/>
      <c r="L130" s="3"/>
      <c r="M130" s="3"/>
      <c r="N130" s="3"/>
      <c r="O130" s="4">
        <f t="shared" si="4"/>
        <v>278736</v>
      </c>
      <c r="P130" s="3">
        <f t="shared" si="17"/>
        <v>280680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7"/>
      <c r="B131" s="17" t="s">
        <v>114</v>
      </c>
      <c r="C131" s="1">
        <v>200.0</v>
      </c>
      <c r="D131" s="1">
        <v>1386.4</v>
      </c>
      <c r="E131" s="8">
        <f t="shared" si="11"/>
        <v>1391.4</v>
      </c>
      <c r="F131" s="8">
        <f t="shared" si="2"/>
        <v>1000</v>
      </c>
      <c r="G131" s="18" t="s">
        <v>115</v>
      </c>
      <c r="H131" s="1">
        <v>1394.1</v>
      </c>
      <c r="I131" s="8">
        <f t="shared" si="3"/>
        <v>1540</v>
      </c>
      <c r="J131" s="8"/>
      <c r="K131" s="3"/>
      <c r="L131" s="3"/>
      <c r="M131" s="3"/>
      <c r="N131" s="3"/>
      <c r="O131" s="4">
        <f t="shared" si="4"/>
        <v>277280</v>
      </c>
      <c r="P131" s="3">
        <f t="shared" si="17"/>
        <v>278820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7"/>
      <c r="B132" s="17" t="s">
        <v>116</v>
      </c>
      <c r="C132" s="1">
        <v>200.0</v>
      </c>
      <c r="D132" s="1">
        <v>1385.18</v>
      </c>
      <c r="E132" s="8">
        <f t="shared" si="11"/>
        <v>1390.18</v>
      </c>
      <c r="F132" s="8">
        <f t="shared" si="2"/>
        <v>1000</v>
      </c>
      <c r="G132" s="18" t="s">
        <v>115</v>
      </c>
      <c r="H132" s="1">
        <v>1390.55</v>
      </c>
      <c r="I132" s="8">
        <f t="shared" si="3"/>
        <v>1074</v>
      </c>
      <c r="J132" s="8"/>
      <c r="K132" s="3"/>
      <c r="L132" s="3"/>
      <c r="M132" s="3"/>
      <c r="N132" s="3"/>
      <c r="O132" s="4">
        <f t="shared" si="4"/>
        <v>277036</v>
      </c>
      <c r="P132" s="3">
        <f t="shared" si="17"/>
        <v>278110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7"/>
      <c r="B133" s="17" t="s">
        <v>116</v>
      </c>
      <c r="C133" s="1">
        <v>200.0</v>
      </c>
      <c r="D133" s="1">
        <v>1387.92</v>
      </c>
      <c r="E133" s="8">
        <f t="shared" si="11"/>
        <v>1392.92</v>
      </c>
      <c r="F133" s="8">
        <f t="shared" si="2"/>
        <v>1000</v>
      </c>
      <c r="G133" s="18" t="s">
        <v>115</v>
      </c>
      <c r="H133" s="1">
        <v>1394.1</v>
      </c>
      <c r="I133" s="8">
        <f t="shared" si="3"/>
        <v>1236</v>
      </c>
      <c r="J133" s="8"/>
      <c r="K133" s="3"/>
      <c r="L133" s="3"/>
      <c r="M133" s="3"/>
      <c r="N133" s="3"/>
      <c r="O133" s="4">
        <f t="shared" si="4"/>
        <v>277584</v>
      </c>
      <c r="P133" s="3">
        <f t="shared" si="17"/>
        <v>278820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17"/>
      <c r="B134" s="17" t="s">
        <v>115</v>
      </c>
      <c r="C134" s="1">
        <v>200.0</v>
      </c>
      <c r="D134" s="1">
        <v>1388.89</v>
      </c>
      <c r="E134" s="8">
        <f t="shared" si="11"/>
        <v>1393.89</v>
      </c>
      <c r="F134" s="8">
        <f t="shared" si="2"/>
        <v>1000</v>
      </c>
      <c r="G134" s="18" t="s">
        <v>115</v>
      </c>
      <c r="H134" s="1">
        <v>1394.1</v>
      </c>
      <c r="I134" s="8">
        <f t="shared" si="3"/>
        <v>1042</v>
      </c>
      <c r="J134" s="8"/>
      <c r="K134" s="3"/>
      <c r="L134" s="3"/>
      <c r="M134" s="3"/>
      <c r="N134" s="3"/>
      <c r="O134" s="4">
        <f t="shared" si="4"/>
        <v>277778</v>
      </c>
      <c r="P134" s="3">
        <f t="shared" si="17"/>
        <v>278820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17"/>
      <c r="B135" s="17" t="s">
        <v>117</v>
      </c>
      <c r="C135" s="1">
        <v>200.0</v>
      </c>
      <c r="D135" s="1">
        <v>1394.84</v>
      </c>
      <c r="E135" s="8">
        <f t="shared" si="11"/>
        <v>1399.84</v>
      </c>
      <c r="F135" s="8">
        <f t="shared" si="2"/>
        <v>1000</v>
      </c>
      <c r="G135" s="18" t="s">
        <v>113</v>
      </c>
      <c r="H135" s="1">
        <v>1403.4</v>
      </c>
      <c r="I135" s="8">
        <f t="shared" si="3"/>
        <v>1712</v>
      </c>
      <c r="J135" s="8"/>
      <c r="K135" s="3"/>
      <c r="L135" s="3"/>
      <c r="M135" s="3"/>
      <c r="N135" s="3"/>
      <c r="O135" s="4">
        <f t="shared" si="4"/>
        <v>278968</v>
      </c>
      <c r="P135" s="3">
        <f t="shared" si="17"/>
        <v>280680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17"/>
      <c r="B136" s="17" t="s">
        <v>117</v>
      </c>
      <c r="C136" s="1">
        <v>200.0</v>
      </c>
      <c r="D136" s="1">
        <v>1396.54</v>
      </c>
      <c r="E136" s="8">
        <f t="shared" si="11"/>
        <v>1401.54</v>
      </c>
      <c r="F136" s="8">
        <f t="shared" si="2"/>
        <v>1000</v>
      </c>
      <c r="G136" s="18" t="s">
        <v>113</v>
      </c>
      <c r="H136" s="1">
        <v>1403.4</v>
      </c>
      <c r="I136" s="8">
        <f t="shared" si="3"/>
        <v>1372</v>
      </c>
      <c r="J136" s="8"/>
      <c r="K136" s="3"/>
      <c r="L136" s="3"/>
      <c r="M136" s="3"/>
      <c r="N136" s="3"/>
      <c r="O136" s="4">
        <f t="shared" si="4"/>
        <v>279308</v>
      </c>
      <c r="P136" s="3">
        <f t="shared" si="17"/>
        <v>280680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17"/>
      <c r="B137" s="17" t="s">
        <v>118</v>
      </c>
      <c r="C137" s="1">
        <v>200.0</v>
      </c>
      <c r="D137" s="1">
        <v>1389.68</v>
      </c>
      <c r="E137" s="8">
        <f t="shared" si="11"/>
        <v>1394.68</v>
      </c>
      <c r="F137" s="8">
        <f t="shared" si="2"/>
        <v>1000</v>
      </c>
      <c r="G137" s="18" t="s">
        <v>119</v>
      </c>
      <c r="H137" s="1">
        <v>1394.44</v>
      </c>
      <c r="I137" s="8">
        <f t="shared" si="3"/>
        <v>952</v>
      </c>
      <c r="J137" s="8"/>
      <c r="K137" s="3"/>
      <c r="L137" s="3"/>
      <c r="M137" s="3"/>
      <c r="N137" s="3"/>
      <c r="O137" s="4">
        <f t="shared" si="4"/>
        <v>277936</v>
      </c>
      <c r="P137" s="3">
        <f t="shared" si="17"/>
        <v>278888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17"/>
      <c r="B138" s="17" t="s">
        <v>118</v>
      </c>
      <c r="C138" s="1">
        <v>200.0</v>
      </c>
      <c r="D138" s="1">
        <v>1387.38</v>
      </c>
      <c r="E138" s="8">
        <f t="shared" si="11"/>
        <v>1392.38</v>
      </c>
      <c r="F138" s="8">
        <f t="shared" si="2"/>
        <v>1000</v>
      </c>
      <c r="G138" s="18" t="s">
        <v>120</v>
      </c>
      <c r="H138" s="1">
        <v>1392.11</v>
      </c>
      <c r="I138" s="8">
        <f t="shared" si="3"/>
        <v>946</v>
      </c>
      <c r="J138" s="8"/>
      <c r="K138" s="3"/>
      <c r="L138" s="3"/>
      <c r="M138" s="3"/>
      <c r="N138" s="3"/>
      <c r="O138" s="4">
        <f t="shared" si="4"/>
        <v>277476</v>
      </c>
      <c r="P138" s="3">
        <f t="shared" si="17"/>
        <v>278422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17"/>
      <c r="B139" s="17" t="s">
        <v>121</v>
      </c>
      <c r="C139" s="1">
        <v>200.0</v>
      </c>
      <c r="D139" s="1">
        <v>1388.22</v>
      </c>
      <c r="E139" s="8">
        <f t="shared" si="11"/>
        <v>1393.22</v>
      </c>
      <c r="F139" s="8">
        <f t="shared" si="2"/>
        <v>1000</v>
      </c>
      <c r="G139" s="18" t="s">
        <v>120</v>
      </c>
      <c r="H139" s="1">
        <v>1393.33</v>
      </c>
      <c r="I139" s="8">
        <f t="shared" si="3"/>
        <v>1022</v>
      </c>
      <c r="J139" s="8"/>
      <c r="K139" s="3"/>
      <c r="L139" s="3"/>
      <c r="M139" s="3"/>
      <c r="N139" s="3"/>
      <c r="O139" s="4">
        <f t="shared" si="4"/>
        <v>277644</v>
      </c>
      <c r="P139" s="3">
        <f t="shared" si="17"/>
        <v>278666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17"/>
      <c r="B140" s="17" t="s">
        <v>122</v>
      </c>
      <c r="C140" s="1">
        <v>200.0</v>
      </c>
      <c r="D140" s="1">
        <v>1390.07</v>
      </c>
      <c r="E140" s="8">
        <f t="shared" si="11"/>
        <v>1395.07</v>
      </c>
      <c r="F140" s="8">
        <f t="shared" si="2"/>
        <v>1000</v>
      </c>
      <c r="G140" s="18" t="s">
        <v>123</v>
      </c>
      <c r="H140" s="1">
        <v>1395.94</v>
      </c>
      <c r="I140" s="8">
        <f t="shared" si="3"/>
        <v>1174</v>
      </c>
      <c r="J140" s="8"/>
      <c r="K140" s="3"/>
      <c r="L140" s="3"/>
      <c r="M140" s="3"/>
      <c r="N140" s="3"/>
      <c r="O140" s="4">
        <f t="shared" si="4"/>
        <v>278014</v>
      </c>
      <c r="P140" s="3">
        <f t="shared" si="17"/>
        <v>279188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17"/>
      <c r="B141" s="17" t="s">
        <v>120</v>
      </c>
      <c r="C141" s="1">
        <v>200.0</v>
      </c>
      <c r="D141" s="1">
        <v>1391.91</v>
      </c>
      <c r="E141" s="8">
        <f t="shared" si="11"/>
        <v>1396.91</v>
      </c>
      <c r="F141" s="8">
        <f t="shared" si="2"/>
        <v>1000</v>
      </c>
      <c r="G141" s="18" t="s">
        <v>124</v>
      </c>
      <c r="H141" s="1">
        <v>1397.66</v>
      </c>
      <c r="I141" s="8">
        <f t="shared" si="3"/>
        <v>1150</v>
      </c>
      <c r="J141" s="8"/>
      <c r="K141" s="3"/>
      <c r="L141" s="3"/>
      <c r="M141" s="3"/>
      <c r="N141" s="3"/>
      <c r="O141" s="4">
        <f t="shared" si="4"/>
        <v>278382</v>
      </c>
      <c r="P141" s="3">
        <f t="shared" si="17"/>
        <v>279532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17"/>
      <c r="B142" s="17" t="s">
        <v>119</v>
      </c>
      <c r="C142" s="1">
        <v>200.0</v>
      </c>
      <c r="D142" s="1">
        <v>1392.09</v>
      </c>
      <c r="E142" s="8">
        <f t="shared" si="11"/>
        <v>1397.09</v>
      </c>
      <c r="F142" s="8">
        <f t="shared" si="2"/>
        <v>1000</v>
      </c>
      <c r="G142" s="18" t="s">
        <v>124</v>
      </c>
      <c r="H142" s="1">
        <v>1397.66</v>
      </c>
      <c r="I142" s="8">
        <f t="shared" si="3"/>
        <v>1114</v>
      </c>
      <c r="J142" s="8"/>
      <c r="K142" s="3"/>
      <c r="L142" s="3"/>
      <c r="M142" s="3"/>
      <c r="N142" s="3"/>
      <c r="O142" s="4">
        <f t="shared" si="4"/>
        <v>278418</v>
      </c>
      <c r="P142" s="3">
        <f t="shared" si="17"/>
        <v>279532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17"/>
      <c r="B143" s="17" t="s">
        <v>125</v>
      </c>
      <c r="C143" s="1">
        <v>200.0</v>
      </c>
      <c r="D143" s="1">
        <v>1392.37</v>
      </c>
      <c r="E143" s="8">
        <f t="shared" si="11"/>
        <v>1397.37</v>
      </c>
      <c r="F143" s="8">
        <f t="shared" si="2"/>
        <v>1000</v>
      </c>
      <c r="G143" s="18" t="s">
        <v>124</v>
      </c>
      <c r="H143" s="1">
        <v>1397.66</v>
      </c>
      <c r="I143" s="8">
        <f t="shared" si="3"/>
        <v>1058</v>
      </c>
      <c r="J143" s="8"/>
      <c r="K143" s="3"/>
      <c r="L143" s="3"/>
      <c r="M143" s="3"/>
      <c r="N143" s="3"/>
      <c r="O143" s="4">
        <f t="shared" si="4"/>
        <v>278474</v>
      </c>
      <c r="P143" s="3">
        <f t="shared" si="17"/>
        <v>279532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17"/>
      <c r="B144" s="17" t="s">
        <v>126</v>
      </c>
      <c r="C144" s="1">
        <v>200.0</v>
      </c>
      <c r="D144" s="1">
        <v>1388.55</v>
      </c>
      <c r="E144" s="8">
        <f t="shared" si="11"/>
        <v>1393.55</v>
      </c>
      <c r="F144" s="8">
        <f t="shared" si="2"/>
        <v>1000</v>
      </c>
      <c r="G144" s="18" t="s">
        <v>127</v>
      </c>
      <c r="H144" s="1">
        <v>1394.85</v>
      </c>
      <c r="I144" s="8">
        <f t="shared" si="3"/>
        <v>1260</v>
      </c>
      <c r="J144" s="8"/>
      <c r="K144" s="3"/>
      <c r="L144" s="3"/>
      <c r="M144" s="3"/>
      <c r="N144" s="3"/>
      <c r="O144" s="4">
        <f t="shared" si="4"/>
        <v>277710</v>
      </c>
      <c r="P144" s="3">
        <f t="shared" si="17"/>
        <v>278970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17"/>
      <c r="B145" s="17" t="s">
        <v>128</v>
      </c>
      <c r="C145" s="1">
        <v>200.0</v>
      </c>
      <c r="D145" s="1">
        <v>1390.25</v>
      </c>
      <c r="E145" s="8">
        <f t="shared" si="11"/>
        <v>1395.25</v>
      </c>
      <c r="F145" s="8">
        <f t="shared" si="2"/>
        <v>1000</v>
      </c>
      <c r="G145" s="18" t="s">
        <v>129</v>
      </c>
      <c r="H145" s="1">
        <v>1396.0</v>
      </c>
      <c r="I145" s="8">
        <f t="shared" si="3"/>
        <v>1150</v>
      </c>
      <c r="J145" s="8"/>
      <c r="K145" s="3"/>
      <c r="L145" s="3"/>
      <c r="M145" s="3"/>
      <c r="N145" s="3"/>
      <c r="O145" s="4">
        <f t="shared" si="4"/>
        <v>278050</v>
      </c>
      <c r="P145" s="3">
        <f t="shared" si="17"/>
        <v>279200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17"/>
      <c r="B146" s="17" t="s">
        <v>128</v>
      </c>
      <c r="C146" s="1">
        <v>200.0</v>
      </c>
      <c r="D146" s="1">
        <v>1388.71</v>
      </c>
      <c r="E146" s="8">
        <f t="shared" si="11"/>
        <v>1393.71</v>
      </c>
      <c r="F146" s="8">
        <f t="shared" si="2"/>
        <v>1000</v>
      </c>
      <c r="G146" s="18" t="s">
        <v>127</v>
      </c>
      <c r="H146" s="1">
        <v>1394.85</v>
      </c>
      <c r="I146" s="8">
        <f t="shared" si="3"/>
        <v>1228</v>
      </c>
      <c r="J146" s="8"/>
      <c r="K146" s="3"/>
      <c r="L146" s="3"/>
      <c r="M146" s="3"/>
      <c r="N146" s="3"/>
      <c r="O146" s="4">
        <f t="shared" si="4"/>
        <v>277742</v>
      </c>
      <c r="P146" s="3">
        <f t="shared" si="17"/>
        <v>278970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17"/>
      <c r="B147" s="17" t="s">
        <v>130</v>
      </c>
      <c r="C147" s="1">
        <v>200.0</v>
      </c>
      <c r="D147" s="1">
        <v>1386.7</v>
      </c>
      <c r="E147" s="8">
        <f t="shared" si="11"/>
        <v>1391.7</v>
      </c>
      <c r="F147" s="8">
        <f t="shared" si="2"/>
        <v>1000</v>
      </c>
      <c r="G147" s="18" t="s">
        <v>131</v>
      </c>
      <c r="H147" s="1">
        <v>1392.54</v>
      </c>
      <c r="I147" s="8">
        <f t="shared" si="3"/>
        <v>1168</v>
      </c>
      <c r="J147" s="8"/>
      <c r="K147" s="3"/>
      <c r="L147" s="3"/>
      <c r="M147" s="3"/>
      <c r="N147" s="3"/>
      <c r="O147" s="4">
        <f t="shared" si="4"/>
        <v>277340</v>
      </c>
      <c r="P147" s="3">
        <f t="shared" si="17"/>
        <v>278508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17"/>
      <c r="B148" s="17" t="s">
        <v>132</v>
      </c>
      <c r="C148" s="1">
        <v>200.0</v>
      </c>
      <c r="D148" s="1">
        <v>1387.28</v>
      </c>
      <c r="E148" s="8">
        <f t="shared" si="11"/>
        <v>1392.28</v>
      </c>
      <c r="F148" s="8">
        <f t="shared" si="2"/>
        <v>1000</v>
      </c>
      <c r="G148" s="18" t="s">
        <v>131</v>
      </c>
      <c r="H148" s="1">
        <v>1392.54</v>
      </c>
      <c r="I148" s="8">
        <f t="shared" si="3"/>
        <v>1052</v>
      </c>
      <c r="J148" s="8"/>
      <c r="K148" s="3"/>
      <c r="L148" s="3"/>
      <c r="M148" s="3"/>
      <c r="N148" s="3"/>
      <c r="O148" s="4">
        <f t="shared" si="4"/>
        <v>277456</v>
      </c>
      <c r="P148" s="3">
        <f t="shared" si="17"/>
        <v>278508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17"/>
      <c r="B149" s="17" t="s">
        <v>131</v>
      </c>
      <c r="C149" s="1">
        <v>200.0</v>
      </c>
      <c r="D149" s="1">
        <v>1389.69</v>
      </c>
      <c r="E149" s="8">
        <f t="shared" si="11"/>
        <v>1394.69</v>
      </c>
      <c r="F149" s="8">
        <f t="shared" si="2"/>
        <v>1000</v>
      </c>
      <c r="G149" s="18" t="s">
        <v>127</v>
      </c>
      <c r="H149" s="1">
        <v>1394.85</v>
      </c>
      <c r="I149" s="8">
        <f t="shared" si="3"/>
        <v>1032</v>
      </c>
      <c r="J149" s="8"/>
      <c r="K149" s="3"/>
      <c r="L149" s="3"/>
      <c r="M149" s="3"/>
      <c r="N149" s="3"/>
      <c r="O149" s="4">
        <f t="shared" si="4"/>
        <v>277938</v>
      </c>
      <c r="P149" s="3">
        <f t="shared" si="17"/>
        <v>278970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17"/>
      <c r="B150" s="17" t="s">
        <v>133</v>
      </c>
      <c r="C150" s="1">
        <v>200.0</v>
      </c>
      <c r="D150" s="1">
        <v>1388.48</v>
      </c>
      <c r="E150" s="8">
        <f t="shared" si="11"/>
        <v>1393.48</v>
      </c>
      <c r="F150" s="8">
        <f t="shared" si="2"/>
        <v>1000</v>
      </c>
      <c r="G150" s="18" t="s">
        <v>127</v>
      </c>
      <c r="H150" s="1">
        <v>1394.85</v>
      </c>
      <c r="I150" s="8">
        <f t="shared" si="3"/>
        <v>1274</v>
      </c>
      <c r="J150" s="8"/>
      <c r="K150" s="3"/>
      <c r="L150" s="3"/>
      <c r="M150" s="3"/>
      <c r="N150" s="3"/>
      <c r="O150" s="4">
        <f t="shared" si="4"/>
        <v>277696</v>
      </c>
      <c r="P150" s="3">
        <f t="shared" si="17"/>
        <v>278970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17"/>
      <c r="B151" s="17" t="s">
        <v>133</v>
      </c>
      <c r="C151" s="1">
        <v>200.0</v>
      </c>
      <c r="D151" s="1">
        <v>1387.43</v>
      </c>
      <c r="E151" s="8">
        <f t="shared" si="11"/>
        <v>1392.43</v>
      </c>
      <c r="F151" s="8">
        <f t="shared" si="2"/>
        <v>1000</v>
      </c>
      <c r="G151" s="18" t="s">
        <v>134</v>
      </c>
      <c r="H151" s="1">
        <v>1393.0</v>
      </c>
      <c r="I151" s="8">
        <f t="shared" si="3"/>
        <v>1114</v>
      </c>
      <c r="J151" s="8"/>
      <c r="K151" s="3"/>
      <c r="L151" s="3"/>
      <c r="M151" s="3"/>
      <c r="N151" s="3"/>
      <c r="O151" s="4">
        <f t="shared" si="4"/>
        <v>277486</v>
      </c>
      <c r="P151" s="3">
        <f t="shared" si="17"/>
        <v>278600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17"/>
      <c r="B152" s="17" t="s">
        <v>135</v>
      </c>
      <c r="C152" s="1">
        <v>200.0</v>
      </c>
      <c r="D152" s="1">
        <v>1393.0</v>
      </c>
      <c r="E152" s="8">
        <f t="shared" si="11"/>
        <v>1398</v>
      </c>
      <c r="F152" s="8">
        <f t="shared" si="2"/>
        <v>1000</v>
      </c>
      <c r="G152" s="18" t="s">
        <v>113</v>
      </c>
      <c r="H152" s="1">
        <v>1403.4</v>
      </c>
      <c r="I152" s="8">
        <f t="shared" si="3"/>
        <v>2080</v>
      </c>
      <c r="J152" s="8"/>
      <c r="K152" s="3"/>
      <c r="L152" s="3"/>
      <c r="M152" s="3"/>
      <c r="N152" s="3"/>
      <c r="O152" s="4">
        <f t="shared" si="4"/>
        <v>278600</v>
      </c>
      <c r="P152" s="3">
        <f t="shared" si="17"/>
        <v>280680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17"/>
      <c r="B153" s="17" t="s">
        <v>136</v>
      </c>
      <c r="C153" s="1">
        <v>200.0</v>
      </c>
      <c r="D153" s="1">
        <v>1388.14</v>
      </c>
      <c r="E153" s="8">
        <f t="shared" si="11"/>
        <v>1393.14</v>
      </c>
      <c r="F153" s="8">
        <f t="shared" si="2"/>
        <v>1000</v>
      </c>
      <c r="G153" s="18" t="s">
        <v>127</v>
      </c>
      <c r="H153" s="1">
        <v>1394.85</v>
      </c>
      <c r="I153" s="8">
        <f t="shared" si="3"/>
        <v>1342</v>
      </c>
      <c r="J153" s="8"/>
      <c r="K153" s="3"/>
      <c r="L153" s="3"/>
      <c r="M153" s="3"/>
      <c r="N153" s="3"/>
      <c r="O153" s="4">
        <f t="shared" si="4"/>
        <v>277628</v>
      </c>
      <c r="P153" s="3">
        <f t="shared" si="17"/>
        <v>278970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17"/>
      <c r="B154" s="17" t="s">
        <v>137</v>
      </c>
      <c r="C154" s="1">
        <v>200.0</v>
      </c>
      <c r="D154" s="1">
        <v>1385.52</v>
      </c>
      <c r="E154" s="8">
        <f t="shared" si="11"/>
        <v>1390.52</v>
      </c>
      <c r="F154" s="8">
        <f t="shared" si="2"/>
        <v>1000</v>
      </c>
      <c r="G154" s="18" t="s">
        <v>127</v>
      </c>
      <c r="H154" s="1">
        <v>1392.74</v>
      </c>
      <c r="I154" s="8">
        <f t="shared" si="3"/>
        <v>1444</v>
      </c>
      <c r="J154" s="8"/>
      <c r="K154" s="3"/>
      <c r="L154" s="3"/>
      <c r="M154" s="3"/>
      <c r="N154" s="3"/>
      <c r="O154" s="4">
        <f t="shared" si="4"/>
        <v>277104</v>
      </c>
      <c r="P154" s="3">
        <f t="shared" si="17"/>
        <v>278548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17"/>
      <c r="B155" s="17" t="s">
        <v>137</v>
      </c>
      <c r="C155" s="1">
        <v>200.0</v>
      </c>
      <c r="D155" s="1">
        <v>1381.64</v>
      </c>
      <c r="E155" s="8">
        <f t="shared" si="11"/>
        <v>1386.64</v>
      </c>
      <c r="F155" s="8">
        <f t="shared" si="2"/>
        <v>1000</v>
      </c>
      <c r="G155" s="18" t="s">
        <v>138</v>
      </c>
      <c r="H155" s="1">
        <v>1387.06</v>
      </c>
      <c r="I155" s="8">
        <f t="shared" si="3"/>
        <v>1084</v>
      </c>
      <c r="J155" s="8"/>
      <c r="K155" s="3"/>
      <c r="L155" s="3"/>
      <c r="M155" s="3"/>
      <c r="N155" s="3"/>
      <c r="O155" s="4">
        <f t="shared" si="4"/>
        <v>276328</v>
      </c>
      <c r="P155" s="3">
        <f t="shared" si="17"/>
        <v>277412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17"/>
      <c r="B156" s="17" t="s">
        <v>139</v>
      </c>
      <c r="C156" s="1">
        <v>200.0</v>
      </c>
      <c r="D156" s="1">
        <v>1379.92</v>
      </c>
      <c r="E156" s="8">
        <f t="shared" si="11"/>
        <v>1384.92</v>
      </c>
      <c r="F156" s="8">
        <f t="shared" si="2"/>
        <v>1000</v>
      </c>
      <c r="G156" s="18" t="s">
        <v>138</v>
      </c>
      <c r="H156" s="1">
        <v>1384.44</v>
      </c>
      <c r="I156" s="8">
        <f t="shared" si="3"/>
        <v>904</v>
      </c>
      <c r="J156" s="8"/>
      <c r="K156" s="3"/>
      <c r="L156" s="3"/>
      <c r="M156" s="3"/>
      <c r="N156" s="3"/>
      <c r="O156" s="4">
        <f t="shared" si="4"/>
        <v>275984</v>
      </c>
      <c r="P156" s="3">
        <f t="shared" si="17"/>
        <v>276888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17"/>
      <c r="B157" s="17" t="s">
        <v>139</v>
      </c>
      <c r="C157" s="1">
        <v>200.0</v>
      </c>
      <c r="D157" s="1">
        <v>1379.01</v>
      </c>
      <c r="E157" s="8">
        <f t="shared" si="11"/>
        <v>1384.01</v>
      </c>
      <c r="F157" s="8">
        <f t="shared" si="2"/>
        <v>1000</v>
      </c>
      <c r="G157" s="18" t="s">
        <v>138</v>
      </c>
      <c r="H157" s="1">
        <v>1384.44</v>
      </c>
      <c r="I157" s="8">
        <f t="shared" si="3"/>
        <v>1086</v>
      </c>
      <c r="J157" s="8"/>
      <c r="K157" s="3"/>
      <c r="L157" s="3"/>
      <c r="M157" s="3"/>
      <c r="N157" s="3"/>
      <c r="O157" s="4">
        <f t="shared" si="4"/>
        <v>275802</v>
      </c>
      <c r="P157" s="3">
        <f t="shared" si="17"/>
        <v>276888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17"/>
      <c r="B158" s="17" t="s">
        <v>138</v>
      </c>
      <c r="C158" s="1">
        <v>200.0</v>
      </c>
      <c r="D158" s="1">
        <v>1380.99</v>
      </c>
      <c r="E158" s="8">
        <f t="shared" si="11"/>
        <v>1385.99</v>
      </c>
      <c r="F158" s="8">
        <f t="shared" si="2"/>
        <v>1000</v>
      </c>
      <c r="G158" s="18" t="s">
        <v>138</v>
      </c>
      <c r="H158" s="1">
        <v>1387.06</v>
      </c>
      <c r="I158" s="8">
        <f t="shared" si="3"/>
        <v>1214</v>
      </c>
      <c r="J158" s="8"/>
      <c r="K158" s="3"/>
      <c r="L158" s="3"/>
      <c r="M158" s="3"/>
      <c r="N158" s="3"/>
      <c r="O158" s="4">
        <f t="shared" si="4"/>
        <v>276198</v>
      </c>
      <c r="P158" s="3">
        <f t="shared" si="17"/>
        <v>277412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7"/>
      <c r="B159" s="17" t="s">
        <v>140</v>
      </c>
      <c r="C159" s="1">
        <v>200.0</v>
      </c>
      <c r="D159" s="1">
        <v>1395.47</v>
      </c>
      <c r="E159" s="8">
        <f t="shared" si="11"/>
        <v>1400.47</v>
      </c>
      <c r="F159" s="8">
        <f t="shared" si="2"/>
        <v>1000</v>
      </c>
      <c r="G159" s="18" t="s">
        <v>113</v>
      </c>
      <c r="H159" s="1">
        <v>1403.4</v>
      </c>
      <c r="I159" s="8">
        <f t="shared" si="3"/>
        <v>1586</v>
      </c>
      <c r="J159" s="8"/>
      <c r="K159" s="3"/>
      <c r="L159" s="3"/>
      <c r="M159" s="3"/>
      <c r="N159" s="3"/>
      <c r="O159" s="4">
        <f t="shared" si="4"/>
        <v>279094</v>
      </c>
      <c r="P159" s="3">
        <f t="shared" si="17"/>
        <v>280680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17"/>
      <c r="B160" s="17" t="s">
        <v>141</v>
      </c>
      <c r="C160" s="1">
        <v>200.0</v>
      </c>
      <c r="D160" s="1">
        <v>1392.33</v>
      </c>
      <c r="E160" s="8">
        <f t="shared" si="11"/>
        <v>1397.33</v>
      </c>
      <c r="F160" s="8">
        <f t="shared" si="2"/>
        <v>1000</v>
      </c>
      <c r="G160" s="18" t="s">
        <v>124</v>
      </c>
      <c r="H160" s="1">
        <v>1397.66</v>
      </c>
      <c r="I160" s="8">
        <f t="shared" si="3"/>
        <v>1066</v>
      </c>
      <c r="J160" s="8"/>
      <c r="K160" s="3"/>
      <c r="L160" s="3"/>
      <c r="M160" s="3"/>
      <c r="N160" s="3"/>
      <c r="O160" s="4">
        <f t="shared" si="4"/>
        <v>278466</v>
      </c>
      <c r="P160" s="3">
        <f t="shared" si="17"/>
        <v>279532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17"/>
      <c r="B161" s="17" t="s">
        <v>141</v>
      </c>
      <c r="C161" s="1">
        <v>200.0</v>
      </c>
      <c r="D161" s="1">
        <v>1394.38</v>
      </c>
      <c r="E161" s="8">
        <f t="shared" si="11"/>
        <v>1399.38</v>
      </c>
      <c r="F161" s="8">
        <f t="shared" si="2"/>
        <v>1000</v>
      </c>
      <c r="G161" s="18" t="s">
        <v>113</v>
      </c>
      <c r="H161" s="1">
        <v>1403.4</v>
      </c>
      <c r="I161" s="8">
        <f t="shared" si="3"/>
        <v>1804</v>
      </c>
      <c r="J161" s="8"/>
      <c r="K161" s="3"/>
      <c r="L161" s="3"/>
      <c r="M161" s="3"/>
      <c r="N161" s="3"/>
      <c r="O161" s="4">
        <f t="shared" si="4"/>
        <v>278876</v>
      </c>
      <c r="P161" s="3">
        <f t="shared" si="17"/>
        <v>280680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17"/>
      <c r="B162" s="17" t="s">
        <v>124</v>
      </c>
      <c r="C162" s="1">
        <v>200.0</v>
      </c>
      <c r="D162" s="1">
        <v>1395.26</v>
      </c>
      <c r="E162" s="8">
        <f t="shared" si="11"/>
        <v>1400.26</v>
      </c>
      <c r="F162" s="8">
        <f t="shared" si="2"/>
        <v>1000</v>
      </c>
      <c r="G162" s="18" t="s">
        <v>113</v>
      </c>
      <c r="H162" s="1">
        <v>1403.4</v>
      </c>
      <c r="I162" s="8">
        <f t="shared" si="3"/>
        <v>1628</v>
      </c>
      <c r="J162" s="8"/>
      <c r="K162" s="3"/>
      <c r="L162" s="3"/>
      <c r="M162" s="3"/>
      <c r="N162" s="3"/>
      <c r="O162" s="4">
        <f t="shared" si="4"/>
        <v>279052</v>
      </c>
      <c r="P162" s="3">
        <f t="shared" si="17"/>
        <v>280680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17"/>
      <c r="B163" s="17" t="s">
        <v>113</v>
      </c>
      <c r="C163" s="1">
        <v>200.0</v>
      </c>
      <c r="D163" s="1">
        <v>1401.59</v>
      </c>
      <c r="E163" s="8">
        <f t="shared" si="11"/>
        <v>1406.59</v>
      </c>
      <c r="F163" s="8">
        <f t="shared" si="2"/>
        <v>1000</v>
      </c>
      <c r="G163" s="18" t="s">
        <v>142</v>
      </c>
      <c r="H163" s="1">
        <v>1410.81</v>
      </c>
      <c r="I163" s="8">
        <f t="shared" si="3"/>
        <v>1844</v>
      </c>
      <c r="J163" s="8"/>
      <c r="K163" s="3"/>
      <c r="L163" s="3"/>
      <c r="M163" s="3"/>
      <c r="N163" s="3"/>
      <c r="O163" s="4">
        <f t="shared" si="4"/>
        <v>280318</v>
      </c>
      <c r="P163" s="3">
        <f t="shared" si="17"/>
        <v>282162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17"/>
      <c r="B164" s="17" t="s">
        <v>113</v>
      </c>
      <c r="C164" s="1">
        <v>200.0</v>
      </c>
      <c r="D164" s="1">
        <v>1402.02</v>
      </c>
      <c r="E164" s="8">
        <f t="shared" si="11"/>
        <v>1407.02</v>
      </c>
      <c r="F164" s="8">
        <f t="shared" si="2"/>
        <v>1000</v>
      </c>
      <c r="G164" s="18" t="s">
        <v>142</v>
      </c>
      <c r="H164" s="1">
        <v>1410.81</v>
      </c>
      <c r="I164" s="8">
        <f t="shared" si="3"/>
        <v>1758</v>
      </c>
      <c r="J164" s="8"/>
      <c r="K164" s="3"/>
      <c r="L164" s="3"/>
      <c r="M164" s="3"/>
      <c r="N164" s="3"/>
      <c r="O164" s="4">
        <f t="shared" si="4"/>
        <v>280404</v>
      </c>
      <c r="P164" s="3">
        <f t="shared" si="17"/>
        <v>282162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5"/>
      <c r="B165" s="15">
        <v>45926.0</v>
      </c>
      <c r="C165" s="1">
        <v>200.0</v>
      </c>
      <c r="D165" s="1">
        <v>1411.02</v>
      </c>
      <c r="E165" s="8">
        <f t="shared" si="11"/>
        <v>1416.02</v>
      </c>
      <c r="F165" s="8">
        <f t="shared" si="2"/>
        <v>1000</v>
      </c>
      <c r="G165" s="12">
        <v>45938.0</v>
      </c>
      <c r="H165" s="1">
        <v>1419.61</v>
      </c>
      <c r="I165" s="8">
        <f t="shared" si="3"/>
        <v>1718</v>
      </c>
      <c r="J165" s="8"/>
      <c r="K165" s="3"/>
      <c r="L165" s="3"/>
      <c r="M165" s="3"/>
      <c r="N165" s="3"/>
      <c r="O165" s="4">
        <f t="shared" si="4"/>
        <v>282204</v>
      </c>
      <c r="P165" s="3">
        <f t="shared" si="17"/>
        <v>283922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11"/>
      <c r="B166" s="11">
        <v>45929.0</v>
      </c>
      <c r="C166" s="1">
        <v>200.0</v>
      </c>
      <c r="D166" s="1">
        <v>1405.84</v>
      </c>
      <c r="E166" s="8">
        <f t="shared" si="11"/>
        <v>1410.84</v>
      </c>
      <c r="F166" s="8">
        <f t="shared" si="2"/>
        <v>1000</v>
      </c>
      <c r="G166" s="12">
        <v>45936.0</v>
      </c>
      <c r="H166" s="1">
        <v>1410.81</v>
      </c>
      <c r="I166" s="8">
        <f t="shared" si="3"/>
        <v>994</v>
      </c>
      <c r="J166" s="8"/>
      <c r="K166" s="3"/>
      <c r="L166" s="3"/>
      <c r="M166" s="3"/>
      <c r="N166" s="3"/>
      <c r="O166" s="4">
        <f t="shared" si="4"/>
        <v>281168</v>
      </c>
      <c r="P166" s="3">
        <f t="shared" si="17"/>
        <v>282162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12"/>
      <c r="B167" s="12">
        <v>45929.0</v>
      </c>
      <c r="C167" s="1">
        <v>200.0</v>
      </c>
      <c r="D167" s="1">
        <v>1401.63</v>
      </c>
      <c r="E167" s="8">
        <f t="shared" si="11"/>
        <v>1406.63</v>
      </c>
      <c r="F167" s="8">
        <f t="shared" si="2"/>
        <v>1000</v>
      </c>
      <c r="G167" s="12">
        <v>45931.0</v>
      </c>
      <c r="H167" s="1">
        <v>1408.54</v>
      </c>
      <c r="I167" s="8">
        <f t="shared" si="3"/>
        <v>1382</v>
      </c>
      <c r="J167" s="8"/>
      <c r="K167" s="3"/>
      <c r="L167" s="3"/>
      <c r="M167" s="3"/>
      <c r="N167" s="3"/>
      <c r="O167" s="4">
        <f t="shared" si="4"/>
        <v>280326</v>
      </c>
      <c r="P167" s="3">
        <f t="shared" si="17"/>
        <v>281708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12"/>
      <c r="B168" s="12">
        <v>45929.0</v>
      </c>
      <c r="C168" s="1">
        <v>200.0</v>
      </c>
      <c r="D168" s="1">
        <v>1399.24</v>
      </c>
      <c r="E168" s="8">
        <f t="shared" si="11"/>
        <v>1404.24</v>
      </c>
      <c r="F168" s="8">
        <f t="shared" si="2"/>
        <v>1000</v>
      </c>
      <c r="G168" s="12">
        <v>45930.0</v>
      </c>
      <c r="H168" s="1">
        <v>1404.55</v>
      </c>
      <c r="I168" s="8">
        <f t="shared" si="3"/>
        <v>1062</v>
      </c>
      <c r="J168" s="8"/>
      <c r="K168" s="3"/>
      <c r="L168" s="3"/>
      <c r="M168" s="3"/>
      <c r="N168" s="3"/>
      <c r="O168" s="4">
        <f t="shared" si="4"/>
        <v>279848</v>
      </c>
      <c r="P168" s="3">
        <f t="shared" si="17"/>
        <v>280910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12"/>
      <c r="B169" s="12">
        <v>45930.0</v>
      </c>
      <c r="C169" s="1">
        <v>200.0</v>
      </c>
      <c r="D169" s="1">
        <v>1402.38</v>
      </c>
      <c r="E169" s="8">
        <f t="shared" si="11"/>
        <v>1407.38</v>
      </c>
      <c r="F169" s="8">
        <f t="shared" si="2"/>
        <v>1000</v>
      </c>
      <c r="G169" s="12">
        <v>45931.0</v>
      </c>
      <c r="H169" s="1">
        <v>1407.8</v>
      </c>
      <c r="I169" s="8">
        <f t="shared" si="3"/>
        <v>1084</v>
      </c>
      <c r="J169" s="8"/>
      <c r="K169" s="3"/>
      <c r="L169" s="3"/>
      <c r="M169" s="3"/>
      <c r="N169" s="3"/>
      <c r="O169" s="4">
        <f t="shared" si="4"/>
        <v>280476</v>
      </c>
      <c r="P169" s="3">
        <f t="shared" si="17"/>
        <v>281560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12"/>
      <c r="B170" s="12">
        <v>45930.0</v>
      </c>
      <c r="C170" s="1">
        <v>200.0</v>
      </c>
      <c r="D170" s="1">
        <v>1403.25</v>
      </c>
      <c r="E170" s="8">
        <f t="shared" si="11"/>
        <v>1408.25</v>
      </c>
      <c r="F170" s="8">
        <f t="shared" si="2"/>
        <v>1000</v>
      </c>
      <c r="G170" s="12">
        <v>45931.0</v>
      </c>
      <c r="H170" s="1">
        <v>1408.54</v>
      </c>
      <c r="I170" s="8">
        <f t="shared" si="3"/>
        <v>1058</v>
      </c>
      <c r="J170" s="8"/>
      <c r="K170" s="3"/>
      <c r="L170" s="3"/>
      <c r="M170" s="3"/>
      <c r="N170" s="3"/>
      <c r="O170" s="4">
        <f t="shared" si="4"/>
        <v>280650</v>
      </c>
      <c r="P170" s="3">
        <f t="shared" si="17"/>
        <v>281708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12"/>
      <c r="B171" s="12">
        <v>45931.0</v>
      </c>
      <c r="C171" s="1">
        <v>200.0</v>
      </c>
      <c r="D171" s="1">
        <v>1404.51</v>
      </c>
      <c r="E171" s="8">
        <f t="shared" si="11"/>
        <v>1409.51</v>
      </c>
      <c r="F171" s="8">
        <f t="shared" si="2"/>
        <v>1000</v>
      </c>
      <c r="G171" s="12">
        <v>45936.0</v>
      </c>
      <c r="H171" s="1">
        <v>1410.81</v>
      </c>
      <c r="I171" s="8">
        <f t="shared" si="3"/>
        <v>1260</v>
      </c>
      <c r="J171" s="8"/>
      <c r="K171" s="3"/>
      <c r="L171" s="3"/>
      <c r="M171" s="3"/>
      <c r="N171" s="3"/>
      <c r="O171" s="4">
        <f t="shared" si="4"/>
        <v>280902</v>
      </c>
      <c r="P171" s="3">
        <f t="shared" si="17"/>
        <v>282162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12"/>
      <c r="B172" s="12">
        <v>45931.0</v>
      </c>
      <c r="C172" s="1">
        <v>200.0</v>
      </c>
      <c r="D172" s="1">
        <v>1403.8</v>
      </c>
      <c r="E172" s="8">
        <f t="shared" si="11"/>
        <v>1408.8</v>
      </c>
      <c r="F172" s="8">
        <f t="shared" si="2"/>
        <v>1000</v>
      </c>
      <c r="G172" s="12">
        <v>45935.0</v>
      </c>
      <c r="H172" s="1">
        <v>1408.58</v>
      </c>
      <c r="I172" s="8">
        <f t="shared" si="3"/>
        <v>956</v>
      </c>
      <c r="J172" s="8"/>
      <c r="K172" s="3"/>
      <c r="L172" s="3"/>
      <c r="M172" s="3"/>
      <c r="N172" s="3"/>
      <c r="O172" s="4">
        <f t="shared" si="4"/>
        <v>280760</v>
      </c>
      <c r="P172" s="3">
        <f t="shared" si="17"/>
        <v>281716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12"/>
      <c r="B173" s="12">
        <v>45932.0</v>
      </c>
      <c r="C173" s="1">
        <v>200.0</v>
      </c>
      <c r="D173" s="1">
        <v>1402.36</v>
      </c>
      <c r="E173" s="8">
        <f t="shared" si="11"/>
        <v>1407.36</v>
      </c>
      <c r="F173" s="8">
        <f t="shared" si="2"/>
        <v>1000</v>
      </c>
      <c r="G173" s="12">
        <v>45933.0</v>
      </c>
      <c r="H173" s="1">
        <v>1408.28</v>
      </c>
      <c r="I173" s="8">
        <f t="shared" si="3"/>
        <v>1184</v>
      </c>
      <c r="J173" s="8"/>
      <c r="K173" s="3"/>
      <c r="L173" s="3"/>
      <c r="M173" s="3"/>
      <c r="N173" s="3"/>
      <c r="O173" s="4">
        <f t="shared" si="4"/>
        <v>280472</v>
      </c>
      <c r="P173" s="3">
        <f t="shared" si="17"/>
        <v>281656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12"/>
      <c r="B174" s="12">
        <v>45932.0</v>
      </c>
      <c r="C174" s="1">
        <v>200.0</v>
      </c>
      <c r="D174" s="1">
        <v>1401.23</v>
      </c>
      <c r="E174" s="8">
        <f t="shared" si="11"/>
        <v>1406.23</v>
      </c>
      <c r="F174" s="8">
        <f t="shared" si="2"/>
        <v>1000</v>
      </c>
      <c r="G174" s="12">
        <v>45933.0</v>
      </c>
      <c r="H174" s="1">
        <v>1408.28</v>
      </c>
      <c r="I174" s="8">
        <f t="shared" si="3"/>
        <v>1410</v>
      </c>
      <c r="J174" s="8"/>
      <c r="K174" s="3"/>
      <c r="L174" s="3"/>
      <c r="M174" s="3"/>
      <c r="N174" s="3"/>
      <c r="O174" s="4">
        <f t="shared" si="4"/>
        <v>280246</v>
      </c>
      <c r="P174" s="3">
        <f t="shared" si="17"/>
        <v>281656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12"/>
      <c r="B175" s="12">
        <v>45934.0</v>
      </c>
      <c r="C175" s="1">
        <v>200.0</v>
      </c>
      <c r="D175" s="1">
        <v>1407.58</v>
      </c>
      <c r="E175" s="8">
        <f t="shared" si="11"/>
        <v>1412.58</v>
      </c>
      <c r="F175" s="8">
        <f t="shared" si="2"/>
        <v>1000</v>
      </c>
      <c r="G175" s="12">
        <v>45936.0</v>
      </c>
      <c r="H175" s="1">
        <v>1414.09</v>
      </c>
      <c r="I175" s="8">
        <f t="shared" si="3"/>
        <v>1302</v>
      </c>
      <c r="J175" s="8"/>
      <c r="K175" s="3"/>
      <c r="L175" s="3"/>
      <c r="M175" s="3"/>
      <c r="N175" s="3"/>
      <c r="O175" s="4">
        <f t="shared" si="4"/>
        <v>281516</v>
      </c>
      <c r="P175" s="3">
        <f t="shared" si="17"/>
        <v>282818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2"/>
      <c r="B176" s="12">
        <v>45937.0</v>
      </c>
      <c r="C176" s="1">
        <v>200.0</v>
      </c>
      <c r="D176" s="1">
        <v>1414.33</v>
      </c>
      <c r="E176" s="8">
        <f t="shared" si="11"/>
        <v>1419.33</v>
      </c>
      <c r="F176" s="8">
        <f t="shared" si="2"/>
        <v>1000</v>
      </c>
      <c r="G176" s="12">
        <v>45938.0</v>
      </c>
      <c r="H176" s="1">
        <v>1419.61</v>
      </c>
      <c r="I176" s="8">
        <f t="shared" si="3"/>
        <v>1056</v>
      </c>
      <c r="J176" s="8"/>
      <c r="K176" s="3"/>
      <c r="L176" s="3"/>
      <c r="M176" s="3"/>
      <c r="N176" s="3"/>
      <c r="O176" s="4">
        <f t="shared" si="4"/>
        <v>282866</v>
      </c>
      <c r="P176" s="3">
        <f t="shared" si="17"/>
        <v>283922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2"/>
      <c r="B177" s="12">
        <v>45937.0</v>
      </c>
      <c r="C177" s="1">
        <v>200.0</v>
      </c>
      <c r="D177" s="1">
        <v>1412.23</v>
      </c>
      <c r="E177" s="8">
        <f t="shared" si="11"/>
        <v>1417.23</v>
      </c>
      <c r="F177" s="8">
        <f t="shared" si="2"/>
        <v>1000</v>
      </c>
      <c r="G177" s="12">
        <v>45938.0</v>
      </c>
      <c r="H177" s="1">
        <v>1419.61</v>
      </c>
      <c r="I177" s="8">
        <f t="shared" si="3"/>
        <v>1476</v>
      </c>
      <c r="J177" s="8"/>
      <c r="K177" s="3"/>
      <c r="L177" s="3"/>
      <c r="M177" s="3"/>
      <c r="N177" s="3"/>
      <c r="O177" s="4">
        <f t="shared" si="4"/>
        <v>282446</v>
      </c>
      <c r="P177" s="3">
        <f t="shared" si="17"/>
        <v>283922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2"/>
      <c r="B178" s="12">
        <v>45939.0</v>
      </c>
      <c r="C178" s="1">
        <v>600.0</v>
      </c>
      <c r="D178" s="1">
        <v>1419.33</v>
      </c>
      <c r="E178" s="8">
        <f t="shared" si="11"/>
        <v>1424.33</v>
      </c>
      <c r="F178" s="8">
        <f t="shared" si="2"/>
        <v>3000</v>
      </c>
      <c r="G178" s="11">
        <v>45941.0</v>
      </c>
      <c r="H178" s="1">
        <v>1431.55</v>
      </c>
      <c r="I178" s="8">
        <f t="shared" si="3"/>
        <v>7332</v>
      </c>
      <c r="J178" s="8"/>
      <c r="K178" s="3"/>
      <c r="L178" s="3"/>
      <c r="M178" s="3"/>
      <c r="N178" s="3"/>
      <c r="O178" s="4">
        <f t="shared" ref="O178:P178" si="19">SUM(O2:O177)</f>
        <v>46841371.28</v>
      </c>
      <c r="P178" s="3">
        <f t="shared" si="19"/>
        <v>47101398.08</v>
      </c>
      <c r="Q178" s="4">
        <f>P178-O178</f>
        <v>260026.8</v>
      </c>
      <c r="R178" s="3">
        <f>Q178/O178/12*8*100</f>
        <v>0.3700813944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2"/>
      <c r="B179" s="12">
        <v>45939.0</v>
      </c>
      <c r="C179" s="1">
        <v>600.0</v>
      </c>
      <c r="D179" s="1">
        <v>1420.63</v>
      </c>
      <c r="E179" s="8">
        <f t="shared" si="11"/>
        <v>1425.63</v>
      </c>
      <c r="F179" s="8">
        <f t="shared" si="2"/>
        <v>3000</v>
      </c>
      <c r="G179" s="11">
        <v>45941.0</v>
      </c>
      <c r="H179" s="1">
        <v>1431.55</v>
      </c>
      <c r="I179" s="8">
        <f t="shared" si="3"/>
        <v>6552</v>
      </c>
      <c r="J179" s="8"/>
      <c r="K179" s="3"/>
      <c r="L179" s="3"/>
      <c r="M179" s="3"/>
      <c r="N179" s="3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2"/>
      <c r="B180" s="12">
        <v>45939.0</v>
      </c>
      <c r="C180" s="1">
        <v>600.0</v>
      </c>
      <c r="D180" s="1">
        <v>1421.48</v>
      </c>
      <c r="E180" s="8">
        <f t="shared" si="11"/>
        <v>1426.48</v>
      </c>
      <c r="F180" s="8">
        <f t="shared" si="2"/>
        <v>3000</v>
      </c>
      <c r="G180" s="11">
        <v>45941.0</v>
      </c>
      <c r="H180" s="1">
        <v>1431.55</v>
      </c>
      <c r="I180" s="8">
        <f t="shared" si="3"/>
        <v>6042</v>
      </c>
      <c r="J180" s="8"/>
      <c r="K180" s="3"/>
      <c r="L180" s="3"/>
      <c r="M180" s="3"/>
      <c r="N180" s="3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1"/>
      <c r="B181" s="11">
        <v>45940.0</v>
      </c>
      <c r="C181" s="1">
        <v>600.0</v>
      </c>
      <c r="D181" s="1">
        <v>1420.48</v>
      </c>
      <c r="E181" s="8">
        <f t="shared" si="11"/>
        <v>1425.48</v>
      </c>
      <c r="F181" s="8">
        <f t="shared" si="2"/>
        <v>3000</v>
      </c>
      <c r="G181" s="11">
        <v>45941.0</v>
      </c>
      <c r="H181" s="1">
        <v>1431.55</v>
      </c>
      <c r="I181" s="8">
        <f t="shared" si="3"/>
        <v>6642</v>
      </c>
      <c r="J181" s="8"/>
      <c r="K181" s="3"/>
      <c r="L181" s="3"/>
      <c r="M181" s="3"/>
      <c r="N181" s="3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" t="s">
        <v>143</v>
      </c>
      <c r="B182" s="11">
        <v>45943.0</v>
      </c>
      <c r="C182" s="1">
        <v>500.0</v>
      </c>
      <c r="D182" s="1">
        <v>1428.97</v>
      </c>
      <c r="E182" s="8">
        <f t="shared" ref="E182:E208" si="20">D182+6</f>
        <v>1434.97</v>
      </c>
      <c r="F182" s="8">
        <f t="shared" si="2"/>
        <v>3000</v>
      </c>
      <c r="G182" s="11">
        <v>45953.0</v>
      </c>
      <c r="H182" s="1">
        <v>1435.15</v>
      </c>
      <c r="I182" s="8">
        <f t="shared" si="3"/>
        <v>3090</v>
      </c>
      <c r="J182" s="8">
        <f t="shared" ref="J182:J241" si="21">C182*D182</f>
        <v>714485</v>
      </c>
      <c r="K182" s="3"/>
      <c r="L182" s="3"/>
      <c r="M182" s="3"/>
      <c r="N182" s="3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" t="s">
        <v>144</v>
      </c>
      <c r="B183" s="11">
        <v>45943.0</v>
      </c>
      <c r="C183" s="1">
        <v>500.0</v>
      </c>
      <c r="D183" s="1">
        <v>1427.76</v>
      </c>
      <c r="E183" s="8">
        <f t="shared" si="20"/>
        <v>1433.76</v>
      </c>
      <c r="F183" s="8">
        <f t="shared" si="2"/>
        <v>3000</v>
      </c>
      <c r="G183" s="11">
        <v>45944.0</v>
      </c>
      <c r="H183" s="1">
        <v>1433.41</v>
      </c>
      <c r="I183" s="8">
        <f t="shared" si="3"/>
        <v>2825</v>
      </c>
      <c r="J183" s="8">
        <f t="shared" si="21"/>
        <v>713880</v>
      </c>
      <c r="K183" s="3"/>
      <c r="L183" s="3"/>
      <c r="M183" s="3"/>
      <c r="N183" s="3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" t="s">
        <v>145</v>
      </c>
      <c r="B184" s="11">
        <v>45945.0</v>
      </c>
      <c r="C184" s="1">
        <v>500.0</v>
      </c>
      <c r="D184" s="1">
        <v>1428.47</v>
      </c>
      <c r="E184" s="8">
        <f t="shared" si="20"/>
        <v>1434.47</v>
      </c>
      <c r="F184" s="8">
        <f t="shared" si="2"/>
        <v>3000</v>
      </c>
      <c r="G184" s="11">
        <v>45953.0</v>
      </c>
      <c r="H184" s="1">
        <v>1435.15</v>
      </c>
      <c r="I184" s="8">
        <f t="shared" si="3"/>
        <v>3340</v>
      </c>
      <c r="J184" s="8">
        <f t="shared" si="21"/>
        <v>714235</v>
      </c>
      <c r="K184" s="3"/>
      <c r="L184" s="3"/>
      <c r="M184" s="3"/>
      <c r="N184" s="3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" t="s">
        <v>146</v>
      </c>
      <c r="B185" s="11">
        <v>45945.0</v>
      </c>
      <c r="C185" s="1">
        <v>500.0</v>
      </c>
      <c r="D185" s="1">
        <v>1426.53</v>
      </c>
      <c r="E185" s="8">
        <f t="shared" si="20"/>
        <v>1432.53</v>
      </c>
      <c r="F185" s="8">
        <f t="shared" si="2"/>
        <v>3000</v>
      </c>
      <c r="G185" s="11">
        <v>45953.0</v>
      </c>
      <c r="H185" s="1">
        <v>1435.15</v>
      </c>
      <c r="I185" s="8">
        <f t="shared" si="3"/>
        <v>4310</v>
      </c>
      <c r="J185" s="8">
        <f t="shared" si="21"/>
        <v>713265</v>
      </c>
      <c r="K185" s="3"/>
      <c r="L185" s="3"/>
      <c r="M185" s="3"/>
      <c r="N185" s="3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1" t="s">
        <v>147</v>
      </c>
      <c r="B186" s="11">
        <v>45945.0</v>
      </c>
      <c r="C186" s="1">
        <v>500.0</v>
      </c>
      <c r="D186" s="1">
        <v>1421.58</v>
      </c>
      <c r="E186" s="8">
        <f t="shared" si="20"/>
        <v>1427.58</v>
      </c>
      <c r="F186" s="8">
        <f t="shared" si="2"/>
        <v>3000</v>
      </c>
      <c r="G186" s="11">
        <v>45951.0</v>
      </c>
      <c r="H186" s="1">
        <v>1428.23</v>
      </c>
      <c r="I186" s="8">
        <f t="shared" si="3"/>
        <v>3325</v>
      </c>
      <c r="J186" s="8">
        <f t="shared" si="21"/>
        <v>710790</v>
      </c>
      <c r="K186" s="3"/>
      <c r="L186" s="3"/>
      <c r="M186" s="3"/>
      <c r="N186" s="3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1" t="s">
        <v>148</v>
      </c>
      <c r="B187" s="11">
        <v>45946.0</v>
      </c>
      <c r="C187" s="1">
        <v>500.0</v>
      </c>
      <c r="D187" s="1">
        <v>1418.82</v>
      </c>
      <c r="E187" s="8">
        <f t="shared" si="20"/>
        <v>1424.82</v>
      </c>
      <c r="F187" s="8">
        <f t="shared" si="2"/>
        <v>3000</v>
      </c>
      <c r="G187" s="11">
        <v>45951.0</v>
      </c>
      <c r="H187" s="1">
        <v>1425.09</v>
      </c>
      <c r="I187" s="8">
        <f t="shared" si="3"/>
        <v>3135</v>
      </c>
      <c r="J187" s="8">
        <f t="shared" si="21"/>
        <v>709410</v>
      </c>
      <c r="K187" s="3"/>
      <c r="L187" s="3"/>
      <c r="M187" s="3"/>
      <c r="N187" s="3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1" t="s">
        <v>149</v>
      </c>
      <c r="B188" s="11">
        <v>45946.0</v>
      </c>
      <c r="C188" s="1">
        <v>500.0</v>
      </c>
      <c r="D188" s="1">
        <v>1419.36</v>
      </c>
      <c r="E188" s="8">
        <f t="shared" si="20"/>
        <v>1425.36</v>
      </c>
      <c r="F188" s="8">
        <f t="shared" si="2"/>
        <v>3000</v>
      </c>
      <c r="G188" s="11">
        <v>45951.0</v>
      </c>
      <c r="H188" s="1">
        <v>1425.09</v>
      </c>
      <c r="I188" s="8">
        <f t="shared" si="3"/>
        <v>2865</v>
      </c>
      <c r="J188" s="8">
        <f t="shared" si="21"/>
        <v>709680</v>
      </c>
      <c r="K188" s="3"/>
      <c r="L188" s="3"/>
      <c r="M188" s="3"/>
      <c r="N188" s="3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1" t="s">
        <v>150</v>
      </c>
      <c r="B189" s="11">
        <v>45946.0</v>
      </c>
      <c r="C189" s="1">
        <v>500.0</v>
      </c>
      <c r="D189" s="1">
        <v>1418.86</v>
      </c>
      <c r="E189" s="8">
        <f t="shared" si="20"/>
        <v>1424.86</v>
      </c>
      <c r="F189" s="8">
        <f t="shared" si="2"/>
        <v>3000</v>
      </c>
      <c r="G189" s="11">
        <v>45951.0</v>
      </c>
      <c r="H189" s="1">
        <v>1425.09</v>
      </c>
      <c r="I189" s="8">
        <f t="shared" si="3"/>
        <v>3115</v>
      </c>
      <c r="J189" s="8">
        <f t="shared" si="21"/>
        <v>709430</v>
      </c>
      <c r="K189" s="3"/>
      <c r="L189" s="3"/>
      <c r="M189" s="3"/>
      <c r="N189" s="3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1" t="s">
        <v>151</v>
      </c>
      <c r="B190" s="11">
        <v>45946.0</v>
      </c>
      <c r="C190" s="1">
        <v>500.0</v>
      </c>
      <c r="D190" s="1">
        <v>1415.84</v>
      </c>
      <c r="E190" s="8">
        <f t="shared" si="20"/>
        <v>1421.84</v>
      </c>
      <c r="F190" s="8">
        <f t="shared" si="2"/>
        <v>3000</v>
      </c>
      <c r="G190" s="11">
        <v>45947.0</v>
      </c>
      <c r="H190" s="1">
        <v>1423.11</v>
      </c>
      <c r="I190" s="8">
        <f t="shared" si="3"/>
        <v>3635</v>
      </c>
      <c r="J190" s="8">
        <f t="shared" si="21"/>
        <v>707920</v>
      </c>
      <c r="K190" s="3"/>
      <c r="L190" s="3"/>
      <c r="M190" s="3"/>
      <c r="N190" s="3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1" t="s">
        <v>144</v>
      </c>
      <c r="B191" s="11">
        <v>45947.0</v>
      </c>
      <c r="C191" s="1">
        <v>500.0</v>
      </c>
      <c r="D191" s="1">
        <v>1420.11</v>
      </c>
      <c r="E191" s="8">
        <f t="shared" si="20"/>
        <v>1426.11</v>
      </c>
      <c r="F191" s="8">
        <f t="shared" si="2"/>
        <v>3000</v>
      </c>
      <c r="G191" s="11">
        <v>45951.0</v>
      </c>
      <c r="H191" s="1">
        <v>1426.97</v>
      </c>
      <c r="I191" s="8">
        <f t="shared" si="3"/>
        <v>3430</v>
      </c>
      <c r="J191" s="8">
        <f t="shared" si="21"/>
        <v>710055</v>
      </c>
      <c r="K191" s="3"/>
      <c r="L191" s="3"/>
      <c r="M191" s="3"/>
      <c r="N191" s="3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1" t="s">
        <v>151</v>
      </c>
      <c r="B192" s="11">
        <v>45947.0</v>
      </c>
      <c r="C192" s="1">
        <v>500.0</v>
      </c>
      <c r="D192" s="1">
        <v>1422.96</v>
      </c>
      <c r="E192" s="8">
        <f t="shared" si="20"/>
        <v>1428.96</v>
      </c>
      <c r="F192" s="8">
        <f t="shared" si="2"/>
        <v>3000</v>
      </c>
      <c r="G192" s="11">
        <v>45951.0</v>
      </c>
      <c r="H192" s="1">
        <v>1428.89</v>
      </c>
      <c r="I192" s="8">
        <f t="shared" si="3"/>
        <v>2965</v>
      </c>
      <c r="J192" s="8">
        <f t="shared" si="21"/>
        <v>711480</v>
      </c>
      <c r="K192" s="3"/>
      <c r="L192" s="3"/>
      <c r="M192" s="3"/>
      <c r="N192" s="3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1" t="s">
        <v>152</v>
      </c>
      <c r="B193" s="11">
        <v>45949.0</v>
      </c>
      <c r="C193" s="1">
        <v>500.0</v>
      </c>
      <c r="D193" s="1">
        <v>1423.22</v>
      </c>
      <c r="E193" s="8">
        <f t="shared" si="20"/>
        <v>1429.22</v>
      </c>
      <c r="F193" s="8">
        <f t="shared" si="2"/>
        <v>3000</v>
      </c>
      <c r="G193" s="11">
        <v>45951.0</v>
      </c>
      <c r="H193" s="1">
        <v>1430.79</v>
      </c>
      <c r="I193" s="8">
        <f t="shared" si="3"/>
        <v>3785</v>
      </c>
      <c r="J193" s="8">
        <f t="shared" si="21"/>
        <v>711610</v>
      </c>
      <c r="K193" s="3"/>
      <c r="L193" s="3"/>
      <c r="M193" s="3"/>
      <c r="N193" s="3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1" t="s">
        <v>153</v>
      </c>
      <c r="B194" s="11">
        <v>45950.0</v>
      </c>
      <c r="C194" s="1">
        <v>500.0</v>
      </c>
      <c r="D194" s="1">
        <v>1420.67</v>
      </c>
      <c r="E194" s="8">
        <f t="shared" si="20"/>
        <v>1426.67</v>
      </c>
      <c r="F194" s="8">
        <f t="shared" si="2"/>
        <v>3000</v>
      </c>
      <c r="G194" s="11">
        <v>45951.0</v>
      </c>
      <c r="H194" s="1">
        <v>1427.06</v>
      </c>
      <c r="I194" s="8">
        <f t="shared" si="3"/>
        <v>3195</v>
      </c>
      <c r="J194" s="8">
        <f t="shared" si="21"/>
        <v>710335</v>
      </c>
      <c r="K194" s="3"/>
      <c r="L194" s="3"/>
      <c r="M194" s="3"/>
      <c r="N194" s="3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1" t="s">
        <v>154</v>
      </c>
      <c r="B195" s="11">
        <v>45951.0</v>
      </c>
      <c r="C195" s="1">
        <v>500.0</v>
      </c>
      <c r="D195" s="1">
        <v>1421.36</v>
      </c>
      <c r="E195" s="8">
        <f t="shared" si="20"/>
        <v>1427.36</v>
      </c>
      <c r="F195" s="8">
        <f t="shared" si="2"/>
        <v>3000</v>
      </c>
      <c r="G195" s="11">
        <v>45951.0</v>
      </c>
      <c r="H195" s="1">
        <v>1427.06</v>
      </c>
      <c r="I195" s="8">
        <f t="shared" si="3"/>
        <v>2850</v>
      </c>
      <c r="J195" s="8">
        <f t="shared" si="21"/>
        <v>710680</v>
      </c>
      <c r="K195" s="3"/>
      <c r="L195" s="3"/>
      <c r="M195" s="3"/>
      <c r="N195" s="3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1" t="s">
        <v>144</v>
      </c>
      <c r="B196" s="11">
        <v>45952.0</v>
      </c>
      <c r="C196" s="1">
        <v>500.0</v>
      </c>
      <c r="D196" s="1">
        <v>1429.85</v>
      </c>
      <c r="E196" s="8">
        <f t="shared" si="20"/>
        <v>1435.85</v>
      </c>
      <c r="F196" s="8">
        <f t="shared" si="2"/>
        <v>3000</v>
      </c>
      <c r="G196" s="11">
        <v>45953.0</v>
      </c>
      <c r="H196" s="1">
        <v>1439.98</v>
      </c>
      <c r="I196" s="8">
        <f t="shared" si="3"/>
        <v>5065</v>
      </c>
      <c r="J196" s="8">
        <f t="shared" si="21"/>
        <v>714925</v>
      </c>
      <c r="K196" s="3"/>
      <c r="L196" s="3"/>
      <c r="M196" s="3"/>
      <c r="N196" s="3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1" t="s">
        <v>147</v>
      </c>
      <c r="B197" s="11">
        <v>45952.0</v>
      </c>
      <c r="C197" s="1">
        <v>500.0</v>
      </c>
      <c r="D197" s="1">
        <v>1430.26</v>
      </c>
      <c r="E197" s="8">
        <f t="shared" si="20"/>
        <v>1436.26</v>
      </c>
      <c r="F197" s="8">
        <f t="shared" si="2"/>
        <v>3000</v>
      </c>
      <c r="G197" s="11">
        <v>45953.0</v>
      </c>
      <c r="H197" s="1">
        <v>1439.98</v>
      </c>
      <c r="I197" s="8">
        <f t="shared" si="3"/>
        <v>4860</v>
      </c>
      <c r="J197" s="8">
        <f t="shared" si="21"/>
        <v>715130</v>
      </c>
      <c r="K197" s="3"/>
      <c r="L197" s="3"/>
      <c r="M197" s="3"/>
      <c r="N197" s="3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1" t="s">
        <v>143</v>
      </c>
      <c r="B198" s="11">
        <v>45957.0</v>
      </c>
      <c r="C198" s="1">
        <v>500.0</v>
      </c>
      <c r="D198" s="1">
        <v>1431.67</v>
      </c>
      <c r="E198" s="8">
        <f t="shared" si="20"/>
        <v>1437.67</v>
      </c>
      <c r="F198" s="8">
        <f t="shared" si="2"/>
        <v>3000</v>
      </c>
      <c r="G198" s="11">
        <v>45958.0</v>
      </c>
      <c r="H198" s="1">
        <v>1437.6</v>
      </c>
      <c r="I198" s="8">
        <f t="shared" si="3"/>
        <v>2965</v>
      </c>
      <c r="J198" s="8">
        <f t="shared" si="21"/>
        <v>715835</v>
      </c>
      <c r="K198" s="3"/>
      <c r="L198" s="3"/>
      <c r="M198" s="3"/>
      <c r="N198" s="3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" t="s">
        <v>144</v>
      </c>
      <c r="B199" s="11">
        <v>45957.0</v>
      </c>
      <c r="C199" s="1">
        <v>500.0</v>
      </c>
      <c r="D199" s="1">
        <v>1433.94</v>
      </c>
      <c r="E199" s="8">
        <f t="shared" si="20"/>
        <v>1439.94</v>
      </c>
      <c r="F199" s="8">
        <f t="shared" si="2"/>
        <v>3000</v>
      </c>
      <c r="G199" s="12">
        <v>45965.0</v>
      </c>
      <c r="H199" s="1">
        <v>1439.66</v>
      </c>
      <c r="I199" s="8">
        <f t="shared" si="3"/>
        <v>2860</v>
      </c>
      <c r="J199" s="8">
        <f t="shared" si="21"/>
        <v>716970</v>
      </c>
      <c r="K199" s="3"/>
      <c r="L199" s="3"/>
      <c r="M199" s="3"/>
      <c r="N199" s="3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1" t="s">
        <v>145</v>
      </c>
      <c r="B200" s="11">
        <v>45957.0</v>
      </c>
      <c r="C200" s="1">
        <v>500.0</v>
      </c>
      <c r="D200" s="1">
        <v>1432.71</v>
      </c>
      <c r="E200" s="8">
        <f t="shared" si="20"/>
        <v>1438.71</v>
      </c>
      <c r="F200" s="8">
        <f t="shared" si="2"/>
        <v>3000</v>
      </c>
      <c r="G200" s="12">
        <v>45965.0</v>
      </c>
      <c r="H200" s="1">
        <v>1439.66</v>
      </c>
      <c r="I200" s="8">
        <f t="shared" si="3"/>
        <v>3475</v>
      </c>
      <c r="J200" s="8">
        <f t="shared" si="21"/>
        <v>716355</v>
      </c>
      <c r="K200" s="3"/>
      <c r="L200" s="3"/>
      <c r="M200" s="3"/>
      <c r="N200" s="3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1" t="s">
        <v>146</v>
      </c>
      <c r="B201" s="11">
        <v>45958.0</v>
      </c>
      <c r="C201" s="1">
        <v>500.0</v>
      </c>
      <c r="D201" s="1">
        <v>1430.9</v>
      </c>
      <c r="E201" s="8">
        <f t="shared" si="20"/>
        <v>1436.9</v>
      </c>
      <c r="F201" s="8">
        <f t="shared" si="2"/>
        <v>3000</v>
      </c>
      <c r="G201" s="11">
        <v>45958.0</v>
      </c>
      <c r="H201" s="1">
        <v>1437.6</v>
      </c>
      <c r="I201" s="8">
        <f t="shared" si="3"/>
        <v>3350</v>
      </c>
      <c r="J201" s="8">
        <f t="shared" si="21"/>
        <v>715450</v>
      </c>
      <c r="K201" s="3"/>
      <c r="L201" s="3"/>
      <c r="M201" s="3"/>
      <c r="N201" s="3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1" t="s">
        <v>147</v>
      </c>
      <c r="B202" s="11">
        <v>45959.0</v>
      </c>
      <c r="C202" s="1">
        <v>500.0</v>
      </c>
      <c r="D202" s="1">
        <v>1434.38</v>
      </c>
      <c r="E202" s="8">
        <f t="shared" si="20"/>
        <v>1440.38</v>
      </c>
      <c r="F202" s="8">
        <f t="shared" si="2"/>
        <v>3000</v>
      </c>
      <c r="G202" s="11">
        <v>45966.0</v>
      </c>
      <c r="H202" s="1">
        <v>1445.65</v>
      </c>
      <c r="I202" s="8">
        <f t="shared" si="3"/>
        <v>5635</v>
      </c>
      <c r="J202" s="8">
        <f t="shared" si="21"/>
        <v>717190</v>
      </c>
      <c r="K202" s="3"/>
      <c r="L202" s="3"/>
      <c r="M202" s="3"/>
      <c r="N202" s="3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1" t="s">
        <v>148</v>
      </c>
      <c r="B203" s="11">
        <v>45959.0</v>
      </c>
      <c r="C203" s="1">
        <v>500.0</v>
      </c>
      <c r="D203" s="1">
        <v>1431.74</v>
      </c>
      <c r="E203" s="8">
        <f t="shared" si="20"/>
        <v>1437.74</v>
      </c>
      <c r="F203" s="8">
        <f t="shared" si="2"/>
        <v>3000</v>
      </c>
      <c r="G203" s="12">
        <v>45965.0</v>
      </c>
      <c r="H203" s="1">
        <v>1439.66</v>
      </c>
      <c r="I203" s="8">
        <f t="shared" si="3"/>
        <v>3960</v>
      </c>
      <c r="J203" s="8">
        <f t="shared" si="21"/>
        <v>715870</v>
      </c>
      <c r="K203" s="3"/>
      <c r="L203" s="3"/>
      <c r="M203" s="3"/>
      <c r="N203" s="3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1" t="s">
        <v>149</v>
      </c>
      <c r="B204" s="11">
        <v>45959.0</v>
      </c>
      <c r="C204" s="1">
        <v>500.0</v>
      </c>
      <c r="D204" s="1">
        <v>1424.2</v>
      </c>
      <c r="E204" s="8">
        <f t="shared" si="20"/>
        <v>1430.2</v>
      </c>
      <c r="F204" s="8">
        <f t="shared" si="2"/>
        <v>3000</v>
      </c>
      <c r="G204" s="11">
        <v>45961.0</v>
      </c>
      <c r="H204" s="1">
        <v>1429.28</v>
      </c>
      <c r="I204" s="8">
        <f t="shared" si="3"/>
        <v>2540</v>
      </c>
      <c r="J204" s="8">
        <f t="shared" si="21"/>
        <v>712100</v>
      </c>
      <c r="K204" s="3"/>
      <c r="L204" s="3"/>
      <c r="M204" s="3"/>
      <c r="N204" s="3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1" t="s">
        <v>150</v>
      </c>
      <c r="B205" s="11">
        <v>45960.0</v>
      </c>
      <c r="C205" s="1">
        <v>500.0</v>
      </c>
      <c r="D205" s="1">
        <v>1422.8</v>
      </c>
      <c r="E205" s="8">
        <f t="shared" si="20"/>
        <v>1428.8</v>
      </c>
      <c r="F205" s="8">
        <f t="shared" si="2"/>
        <v>3000</v>
      </c>
      <c r="G205" s="11">
        <v>45960.0</v>
      </c>
      <c r="H205" s="1">
        <v>1427.65</v>
      </c>
      <c r="I205" s="8">
        <f t="shared" si="3"/>
        <v>2425</v>
      </c>
      <c r="J205" s="8">
        <f t="shared" si="21"/>
        <v>711400</v>
      </c>
      <c r="K205" s="3"/>
      <c r="L205" s="3"/>
      <c r="M205" s="3"/>
      <c r="N205" s="3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1" t="s">
        <v>143</v>
      </c>
      <c r="B206" s="11">
        <v>45978.0</v>
      </c>
      <c r="C206" s="1">
        <v>600.0</v>
      </c>
      <c r="D206" s="1">
        <v>1459.01</v>
      </c>
      <c r="E206" s="8">
        <f t="shared" si="20"/>
        <v>1465.01</v>
      </c>
      <c r="F206" s="8">
        <f t="shared" si="2"/>
        <v>3600</v>
      </c>
      <c r="G206" s="11">
        <v>45979.0</v>
      </c>
      <c r="H206" s="1">
        <v>1466.69</v>
      </c>
      <c r="I206" s="8">
        <f t="shared" si="3"/>
        <v>4608</v>
      </c>
      <c r="J206" s="8">
        <f t="shared" si="21"/>
        <v>875406</v>
      </c>
      <c r="K206" s="3"/>
      <c r="L206" s="3"/>
      <c r="M206" s="3"/>
      <c r="N206" s="3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1" t="s">
        <v>143</v>
      </c>
      <c r="B207" s="11">
        <v>45987.0</v>
      </c>
      <c r="C207" s="1">
        <v>500.0</v>
      </c>
      <c r="D207" s="1">
        <v>1459.51</v>
      </c>
      <c r="E207" s="8">
        <f t="shared" si="20"/>
        <v>1465.51</v>
      </c>
      <c r="F207" s="8">
        <f t="shared" si="2"/>
        <v>3000</v>
      </c>
      <c r="G207" s="11">
        <v>45987.0</v>
      </c>
      <c r="H207" s="1">
        <v>1467.57</v>
      </c>
      <c r="I207" s="8">
        <f t="shared" si="3"/>
        <v>4030</v>
      </c>
      <c r="J207" s="8">
        <f t="shared" si="21"/>
        <v>729755</v>
      </c>
      <c r="K207" s="3"/>
      <c r="L207" s="3"/>
      <c r="M207" s="3"/>
      <c r="N207" s="3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1" t="s">
        <v>143</v>
      </c>
      <c r="B208" s="11">
        <v>45988.0</v>
      </c>
      <c r="C208" s="1">
        <v>600.0</v>
      </c>
      <c r="D208" s="1">
        <v>1468.3</v>
      </c>
      <c r="E208" s="8">
        <f t="shared" si="20"/>
        <v>1474.3</v>
      </c>
      <c r="F208" s="8">
        <f t="shared" si="2"/>
        <v>3600</v>
      </c>
      <c r="G208" s="12">
        <v>45993.0</v>
      </c>
      <c r="H208" s="1">
        <v>1471.55</v>
      </c>
      <c r="I208" s="8">
        <f t="shared" si="3"/>
        <v>1950</v>
      </c>
      <c r="J208" s="8">
        <f t="shared" si="21"/>
        <v>880980</v>
      </c>
      <c r="K208" s="3"/>
      <c r="L208" s="3"/>
      <c r="M208" s="3"/>
      <c r="N208" s="3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1" t="s">
        <v>143</v>
      </c>
      <c r="B209" s="12">
        <v>45993.0</v>
      </c>
      <c r="C209" s="1">
        <v>700.0</v>
      </c>
      <c r="D209" s="1">
        <v>1469.7</v>
      </c>
      <c r="E209" s="8">
        <f t="shared" ref="E209:E273" si="22">D209+4</f>
        <v>1473.7</v>
      </c>
      <c r="F209" s="8">
        <f t="shared" si="2"/>
        <v>2800</v>
      </c>
      <c r="G209" s="12">
        <v>45996.0</v>
      </c>
      <c r="H209" s="1">
        <v>1473.65</v>
      </c>
      <c r="I209" s="8">
        <f t="shared" si="3"/>
        <v>2765</v>
      </c>
      <c r="J209" s="8">
        <f t="shared" si="21"/>
        <v>1028790</v>
      </c>
      <c r="K209" s="3"/>
      <c r="L209" s="3"/>
      <c r="M209" s="3"/>
      <c r="N209" s="3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1" t="s">
        <v>144</v>
      </c>
      <c r="B210" s="12">
        <v>45993.0</v>
      </c>
      <c r="C210" s="1">
        <v>700.0</v>
      </c>
      <c r="D210" s="1">
        <v>1467.59</v>
      </c>
      <c r="E210" s="8">
        <f t="shared" si="22"/>
        <v>1471.59</v>
      </c>
      <c r="F210" s="8">
        <f t="shared" si="2"/>
        <v>2800</v>
      </c>
      <c r="G210" s="12">
        <v>45995.0</v>
      </c>
      <c r="H210" s="1">
        <v>1472.25</v>
      </c>
      <c r="I210" s="8">
        <f t="shared" si="3"/>
        <v>3262</v>
      </c>
      <c r="J210" s="8">
        <f t="shared" si="21"/>
        <v>1027313</v>
      </c>
      <c r="K210" s="3"/>
      <c r="L210" s="3"/>
      <c r="M210" s="3"/>
      <c r="N210" s="3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1" t="s">
        <v>145</v>
      </c>
      <c r="B211" s="12">
        <v>45994.0</v>
      </c>
      <c r="C211" s="1">
        <v>700.0</v>
      </c>
      <c r="D211" s="1">
        <v>1465.59</v>
      </c>
      <c r="E211" s="8">
        <f t="shared" si="22"/>
        <v>1469.59</v>
      </c>
      <c r="F211" s="8">
        <f t="shared" si="2"/>
        <v>2800</v>
      </c>
      <c r="G211" s="12">
        <v>45995.0</v>
      </c>
      <c r="H211" s="1">
        <v>1472.25</v>
      </c>
      <c r="I211" s="8">
        <f t="shared" si="3"/>
        <v>4662</v>
      </c>
      <c r="J211" s="8">
        <f t="shared" si="21"/>
        <v>1025913</v>
      </c>
      <c r="K211" s="3"/>
      <c r="L211" s="3"/>
      <c r="M211" s="3"/>
      <c r="N211" s="3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1" t="s">
        <v>143</v>
      </c>
      <c r="B212" s="12">
        <v>45999.0</v>
      </c>
      <c r="C212" s="1">
        <v>700.0</v>
      </c>
      <c r="D212" s="1">
        <v>1469.52</v>
      </c>
      <c r="E212" s="8">
        <f t="shared" si="22"/>
        <v>1473.52</v>
      </c>
      <c r="F212" s="8">
        <f t="shared" si="2"/>
        <v>2800</v>
      </c>
      <c r="G212" s="11">
        <v>46003.0</v>
      </c>
      <c r="H212" s="1">
        <v>1473.17</v>
      </c>
      <c r="I212" s="8">
        <f t="shared" si="3"/>
        <v>2555</v>
      </c>
      <c r="J212" s="8">
        <f t="shared" si="21"/>
        <v>1028664</v>
      </c>
      <c r="K212" s="3"/>
      <c r="L212" s="3"/>
      <c r="M212" s="3"/>
      <c r="N212" s="3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1" t="s">
        <v>144</v>
      </c>
      <c r="B213" s="12">
        <v>45999.0</v>
      </c>
      <c r="C213" s="1">
        <v>700.0</v>
      </c>
      <c r="D213" s="1">
        <v>1467.94</v>
      </c>
      <c r="E213" s="8">
        <f t="shared" si="22"/>
        <v>1471.94</v>
      </c>
      <c r="F213" s="8">
        <f t="shared" si="2"/>
        <v>2800</v>
      </c>
      <c r="G213" s="11">
        <v>46001.0</v>
      </c>
      <c r="H213" s="1">
        <v>1471.42</v>
      </c>
      <c r="I213" s="8">
        <f t="shared" si="3"/>
        <v>2436</v>
      </c>
      <c r="J213" s="8">
        <f t="shared" si="21"/>
        <v>1027558</v>
      </c>
      <c r="K213" s="3"/>
      <c r="L213" s="3"/>
      <c r="M213" s="3"/>
      <c r="N213" s="3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1" t="s">
        <v>145</v>
      </c>
      <c r="B214" s="12">
        <v>46000.0</v>
      </c>
      <c r="C214" s="1">
        <v>700.0</v>
      </c>
      <c r="D214" s="1">
        <v>1470.81</v>
      </c>
      <c r="E214" s="8">
        <f t="shared" si="22"/>
        <v>1474.81</v>
      </c>
      <c r="F214" s="8">
        <f t="shared" si="2"/>
        <v>2800</v>
      </c>
      <c r="G214" s="11">
        <v>46003.0</v>
      </c>
      <c r="H214" s="1">
        <v>1474.48</v>
      </c>
      <c r="I214" s="8">
        <f t="shared" si="3"/>
        <v>2569</v>
      </c>
      <c r="J214" s="8">
        <f t="shared" si="21"/>
        <v>1029567</v>
      </c>
      <c r="K214" s="3"/>
      <c r="L214" s="3"/>
      <c r="M214" s="3"/>
      <c r="N214" s="3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1" t="s">
        <v>146</v>
      </c>
      <c r="B215" s="12">
        <v>46000.0</v>
      </c>
      <c r="C215" s="1">
        <v>700.0</v>
      </c>
      <c r="D215" s="1">
        <v>1467.92</v>
      </c>
      <c r="E215" s="8">
        <f t="shared" si="22"/>
        <v>1471.92</v>
      </c>
      <c r="F215" s="8">
        <f t="shared" si="2"/>
        <v>2800</v>
      </c>
      <c r="G215" s="11">
        <v>46001.0</v>
      </c>
      <c r="H215" s="1">
        <v>1471.42</v>
      </c>
      <c r="I215" s="8">
        <f t="shared" si="3"/>
        <v>2450</v>
      </c>
      <c r="J215" s="8">
        <f t="shared" si="21"/>
        <v>1027544</v>
      </c>
      <c r="K215" s="3"/>
      <c r="L215" s="3"/>
      <c r="M215" s="3"/>
      <c r="N215" s="3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1" t="s">
        <v>147</v>
      </c>
      <c r="B216" s="12">
        <v>46000.0</v>
      </c>
      <c r="C216" s="1">
        <v>700.0</v>
      </c>
      <c r="D216" s="1">
        <v>1468.98</v>
      </c>
      <c r="E216" s="8">
        <f t="shared" si="22"/>
        <v>1472.98</v>
      </c>
      <c r="F216" s="8">
        <f t="shared" si="2"/>
        <v>2800</v>
      </c>
      <c r="G216" s="11">
        <v>46003.0</v>
      </c>
      <c r="H216" s="1">
        <v>1473.17</v>
      </c>
      <c r="I216" s="8">
        <f t="shared" si="3"/>
        <v>2933</v>
      </c>
      <c r="J216" s="8">
        <f t="shared" si="21"/>
        <v>1028286</v>
      </c>
      <c r="K216" s="3"/>
      <c r="L216" s="3"/>
      <c r="M216" s="3"/>
      <c r="N216" s="3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1" t="s">
        <v>144</v>
      </c>
      <c r="B217" s="11">
        <v>46002.0</v>
      </c>
      <c r="C217" s="1">
        <v>700.0</v>
      </c>
      <c r="D217" s="1">
        <v>1466.12</v>
      </c>
      <c r="E217" s="8">
        <f t="shared" si="22"/>
        <v>1470.12</v>
      </c>
      <c r="F217" s="8">
        <f t="shared" si="2"/>
        <v>2800</v>
      </c>
      <c r="G217" s="11">
        <v>46002.0</v>
      </c>
      <c r="H217" s="1">
        <v>1471.22</v>
      </c>
      <c r="I217" s="8">
        <f t="shared" si="3"/>
        <v>3570</v>
      </c>
      <c r="J217" s="8">
        <f t="shared" si="21"/>
        <v>1026284</v>
      </c>
      <c r="K217" s="3"/>
      <c r="L217" s="3"/>
      <c r="M217" s="3"/>
      <c r="N217" s="3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8">
        <f t="shared" si="22"/>
        <v>4</v>
      </c>
      <c r="F218" s="8">
        <f t="shared" si="2"/>
        <v>0</v>
      </c>
      <c r="G218" s="3"/>
      <c r="H218" s="3"/>
      <c r="I218" s="8">
        <f t="shared" si="3"/>
        <v>0</v>
      </c>
      <c r="J218" s="8">
        <f t="shared" si="21"/>
        <v>0</v>
      </c>
      <c r="K218" s="3"/>
      <c r="L218" s="3"/>
      <c r="M218" s="3"/>
      <c r="N218" s="3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8">
        <f t="shared" si="22"/>
        <v>4</v>
      </c>
      <c r="F219" s="8">
        <f t="shared" si="2"/>
        <v>0</v>
      </c>
      <c r="G219" s="3"/>
      <c r="H219" s="3"/>
      <c r="I219" s="8">
        <f t="shared" si="3"/>
        <v>0</v>
      </c>
      <c r="J219" s="8">
        <f t="shared" si="21"/>
        <v>0</v>
      </c>
      <c r="K219" s="3"/>
      <c r="L219" s="3"/>
      <c r="M219" s="3"/>
      <c r="N219" s="3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8">
        <f t="shared" si="22"/>
        <v>4</v>
      </c>
      <c r="F220" s="8">
        <f t="shared" si="2"/>
        <v>0</v>
      </c>
      <c r="G220" s="3"/>
      <c r="H220" s="3"/>
      <c r="I220" s="8">
        <f t="shared" si="3"/>
        <v>0</v>
      </c>
      <c r="J220" s="8">
        <f t="shared" si="21"/>
        <v>0</v>
      </c>
      <c r="K220" s="3"/>
      <c r="L220" s="3"/>
      <c r="M220" s="3"/>
      <c r="N220" s="3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8">
        <f t="shared" si="22"/>
        <v>4</v>
      </c>
      <c r="F221" s="8">
        <f t="shared" si="2"/>
        <v>0</v>
      </c>
      <c r="G221" s="3"/>
      <c r="H221" s="3"/>
      <c r="I221" s="8">
        <f t="shared" si="3"/>
        <v>0</v>
      </c>
      <c r="J221" s="8">
        <f t="shared" si="21"/>
        <v>0</v>
      </c>
      <c r="K221" s="3"/>
      <c r="L221" s="3"/>
      <c r="M221" s="3"/>
      <c r="N221" s="3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8">
        <f t="shared" si="22"/>
        <v>4</v>
      </c>
      <c r="F222" s="8">
        <f t="shared" si="2"/>
        <v>0</v>
      </c>
      <c r="G222" s="3"/>
      <c r="H222" s="3"/>
      <c r="I222" s="8">
        <f t="shared" si="3"/>
        <v>0</v>
      </c>
      <c r="J222" s="8">
        <f t="shared" si="21"/>
        <v>0</v>
      </c>
      <c r="K222" s="3"/>
      <c r="L222" s="3"/>
      <c r="M222" s="3"/>
      <c r="N222" s="3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8">
        <f t="shared" si="22"/>
        <v>4</v>
      </c>
      <c r="F223" s="8">
        <f t="shared" si="2"/>
        <v>0</v>
      </c>
      <c r="G223" s="3"/>
      <c r="H223" s="3"/>
      <c r="I223" s="8">
        <f t="shared" si="3"/>
        <v>0</v>
      </c>
      <c r="J223" s="8">
        <f t="shared" si="21"/>
        <v>0</v>
      </c>
      <c r="K223" s="3"/>
      <c r="L223" s="3"/>
      <c r="M223" s="3"/>
      <c r="N223" s="3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8">
        <f t="shared" si="22"/>
        <v>4</v>
      </c>
      <c r="F224" s="8">
        <f t="shared" si="2"/>
        <v>0</v>
      </c>
      <c r="G224" s="3"/>
      <c r="H224" s="3"/>
      <c r="I224" s="8">
        <f t="shared" si="3"/>
        <v>0</v>
      </c>
      <c r="J224" s="8">
        <f t="shared" si="21"/>
        <v>0</v>
      </c>
      <c r="K224" s="3"/>
      <c r="L224" s="3"/>
      <c r="M224" s="3"/>
      <c r="N224" s="3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8">
        <f t="shared" si="22"/>
        <v>4</v>
      </c>
      <c r="F225" s="8">
        <f t="shared" si="2"/>
        <v>0</v>
      </c>
      <c r="G225" s="3"/>
      <c r="H225" s="3"/>
      <c r="I225" s="8">
        <f t="shared" si="3"/>
        <v>0</v>
      </c>
      <c r="J225" s="8">
        <f t="shared" si="21"/>
        <v>0</v>
      </c>
      <c r="K225" s="3"/>
      <c r="L225" s="3"/>
      <c r="M225" s="3"/>
      <c r="N225" s="3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8">
        <f t="shared" si="22"/>
        <v>4</v>
      </c>
      <c r="F226" s="8">
        <f t="shared" si="2"/>
        <v>0</v>
      </c>
      <c r="G226" s="3"/>
      <c r="H226" s="3"/>
      <c r="I226" s="8">
        <f t="shared" si="3"/>
        <v>0</v>
      </c>
      <c r="J226" s="8">
        <f t="shared" si="21"/>
        <v>0</v>
      </c>
      <c r="K226" s="3"/>
      <c r="L226" s="3"/>
      <c r="M226" s="3"/>
      <c r="N226" s="3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8">
        <f t="shared" si="22"/>
        <v>4</v>
      </c>
      <c r="F227" s="8">
        <f t="shared" si="2"/>
        <v>0</v>
      </c>
      <c r="G227" s="3"/>
      <c r="H227" s="3"/>
      <c r="I227" s="8">
        <f t="shared" si="3"/>
        <v>0</v>
      </c>
      <c r="J227" s="8">
        <f t="shared" si="21"/>
        <v>0</v>
      </c>
      <c r="K227" s="3"/>
      <c r="L227" s="3"/>
      <c r="M227" s="3"/>
      <c r="N227" s="3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8">
        <f t="shared" si="22"/>
        <v>4</v>
      </c>
      <c r="F228" s="8">
        <f t="shared" si="2"/>
        <v>0</v>
      </c>
      <c r="G228" s="3"/>
      <c r="H228" s="3"/>
      <c r="I228" s="8">
        <f t="shared" si="3"/>
        <v>0</v>
      </c>
      <c r="J228" s="8">
        <f t="shared" si="21"/>
        <v>0</v>
      </c>
      <c r="K228" s="3"/>
      <c r="L228" s="3"/>
      <c r="M228" s="3"/>
      <c r="N228" s="3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8">
        <f t="shared" si="22"/>
        <v>4</v>
      </c>
      <c r="F229" s="8">
        <f t="shared" si="2"/>
        <v>0</v>
      </c>
      <c r="G229" s="3"/>
      <c r="H229" s="3"/>
      <c r="I229" s="8">
        <f t="shared" si="3"/>
        <v>0</v>
      </c>
      <c r="J229" s="8">
        <f t="shared" si="21"/>
        <v>0</v>
      </c>
      <c r="K229" s="3"/>
      <c r="L229" s="3"/>
      <c r="M229" s="3"/>
      <c r="N229" s="3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8">
        <f t="shared" si="22"/>
        <v>4</v>
      </c>
      <c r="F230" s="8">
        <f t="shared" si="2"/>
        <v>0</v>
      </c>
      <c r="G230" s="3"/>
      <c r="H230" s="3"/>
      <c r="I230" s="8">
        <f t="shared" si="3"/>
        <v>0</v>
      </c>
      <c r="J230" s="8">
        <f t="shared" si="21"/>
        <v>0</v>
      </c>
      <c r="K230" s="3"/>
      <c r="L230" s="3"/>
      <c r="M230" s="3"/>
      <c r="N230" s="3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8">
        <f t="shared" si="22"/>
        <v>4</v>
      </c>
      <c r="F231" s="8">
        <f t="shared" si="2"/>
        <v>0</v>
      </c>
      <c r="G231" s="3"/>
      <c r="H231" s="3"/>
      <c r="I231" s="8">
        <f t="shared" si="3"/>
        <v>0</v>
      </c>
      <c r="J231" s="8">
        <f t="shared" si="21"/>
        <v>0</v>
      </c>
      <c r="K231" s="3"/>
      <c r="L231" s="3"/>
      <c r="M231" s="3"/>
      <c r="N231" s="3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8">
        <f t="shared" si="22"/>
        <v>4</v>
      </c>
      <c r="F232" s="8">
        <f t="shared" si="2"/>
        <v>0</v>
      </c>
      <c r="G232" s="3"/>
      <c r="H232" s="3"/>
      <c r="I232" s="8">
        <f t="shared" si="3"/>
        <v>0</v>
      </c>
      <c r="J232" s="8">
        <f t="shared" si="21"/>
        <v>0</v>
      </c>
      <c r="K232" s="3"/>
      <c r="L232" s="3"/>
      <c r="M232" s="3"/>
      <c r="N232" s="3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8">
        <f t="shared" si="22"/>
        <v>4</v>
      </c>
      <c r="F233" s="8">
        <f t="shared" si="2"/>
        <v>0</v>
      </c>
      <c r="G233" s="3"/>
      <c r="H233" s="3"/>
      <c r="I233" s="8">
        <f t="shared" si="3"/>
        <v>0</v>
      </c>
      <c r="J233" s="8">
        <f t="shared" si="21"/>
        <v>0</v>
      </c>
      <c r="K233" s="3"/>
      <c r="L233" s="3"/>
      <c r="M233" s="3"/>
      <c r="N233" s="3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8">
        <f t="shared" si="22"/>
        <v>4</v>
      </c>
      <c r="F234" s="8">
        <f t="shared" si="2"/>
        <v>0</v>
      </c>
      <c r="G234" s="3"/>
      <c r="H234" s="3"/>
      <c r="I234" s="8">
        <f t="shared" si="3"/>
        <v>0</v>
      </c>
      <c r="J234" s="8">
        <f t="shared" si="21"/>
        <v>0</v>
      </c>
      <c r="K234" s="3"/>
      <c r="L234" s="3"/>
      <c r="M234" s="3"/>
      <c r="N234" s="3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8">
        <f t="shared" si="22"/>
        <v>4</v>
      </c>
      <c r="F235" s="8">
        <f t="shared" si="2"/>
        <v>0</v>
      </c>
      <c r="G235" s="3"/>
      <c r="H235" s="3"/>
      <c r="I235" s="8">
        <f t="shared" si="3"/>
        <v>0</v>
      </c>
      <c r="J235" s="8">
        <f t="shared" si="21"/>
        <v>0</v>
      </c>
      <c r="K235" s="3"/>
      <c r="L235" s="3"/>
      <c r="M235" s="3"/>
      <c r="N235" s="3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8">
        <f t="shared" si="22"/>
        <v>4</v>
      </c>
      <c r="F236" s="8">
        <f t="shared" si="2"/>
        <v>0</v>
      </c>
      <c r="G236" s="3"/>
      <c r="H236" s="3"/>
      <c r="I236" s="8">
        <f t="shared" si="3"/>
        <v>0</v>
      </c>
      <c r="J236" s="8">
        <f t="shared" si="21"/>
        <v>0</v>
      </c>
      <c r="K236" s="3"/>
      <c r="L236" s="3"/>
      <c r="M236" s="3"/>
      <c r="N236" s="3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8">
        <f t="shared" si="22"/>
        <v>4</v>
      </c>
      <c r="F237" s="8">
        <f t="shared" si="2"/>
        <v>0</v>
      </c>
      <c r="G237" s="3"/>
      <c r="H237" s="3"/>
      <c r="I237" s="8">
        <f t="shared" si="3"/>
        <v>0</v>
      </c>
      <c r="J237" s="8">
        <f t="shared" si="21"/>
        <v>0</v>
      </c>
      <c r="K237" s="3"/>
      <c r="L237" s="3"/>
      <c r="M237" s="3"/>
      <c r="N237" s="3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8">
        <f t="shared" si="22"/>
        <v>4</v>
      </c>
      <c r="F238" s="8">
        <f t="shared" si="2"/>
        <v>0</v>
      </c>
      <c r="G238" s="3"/>
      <c r="H238" s="3"/>
      <c r="I238" s="8">
        <f t="shared" si="3"/>
        <v>0</v>
      </c>
      <c r="J238" s="8">
        <f t="shared" si="21"/>
        <v>0</v>
      </c>
      <c r="K238" s="3"/>
      <c r="L238" s="3"/>
      <c r="M238" s="3"/>
      <c r="N238" s="3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8">
        <f t="shared" si="22"/>
        <v>4</v>
      </c>
      <c r="F239" s="8">
        <f t="shared" si="2"/>
        <v>0</v>
      </c>
      <c r="G239" s="3"/>
      <c r="H239" s="3"/>
      <c r="I239" s="8">
        <f t="shared" si="3"/>
        <v>0</v>
      </c>
      <c r="J239" s="8">
        <f t="shared" si="21"/>
        <v>0</v>
      </c>
      <c r="K239" s="3"/>
      <c r="L239" s="3"/>
      <c r="M239" s="3"/>
      <c r="N239" s="3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8">
        <f t="shared" si="22"/>
        <v>4</v>
      </c>
      <c r="F240" s="8">
        <f t="shared" si="2"/>
        <v>0</v>
      </c>
      <c r="G240" s="3"/>
      <c r="H240" s="3"/>
      <c r="I240" s="8">
        <f t="shared" si="3"/>
        <v>0</v>
      </c>
      <c r="J240" s="8">
        <f t="shared" si="21"/>
        <v>0</v>
      </c>
      <c r="K240" s="3"/>
      <c r="L240" s="3"/>
      <c r="M240" s="3"/>
      <c r="N240" s="3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8">
        <f t="shared" si="22"/>
        <v>4</v>
      </c>
      <c r="F241" s="8">
        <f t="shared" si="2"/>
        <v>0</v>
      </c>
      <c r="G241" s="3"/>
      <c r="H241" s="3"/>
      <c r="I241" s="8">
        <f t="shared" si="3"/>
        <v>0</v>
      </c>
      <c r="J241" s="8">
        <f t="shared" si="21"/>
        <v>0</v>
      </c>
      <c r="K241" s="3"/>
      <c r="L241" s="3"/>
      <c r="M241" s="3"/>
      <c r="N241" s="3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8">
        <f t="shared" si="22"/>
        <v>4</v>
      </c>
      <c r="F242" s="8">
        <f t="shared" si="2"/>
        <v>0</v>
      </c>
      <c r="G242" s="3"/>
      <c r="H242" s="3"/>
      <c r="I242" s="8">
        <f t="shared" si="3"/>
        <v>0</v>
      </c>
      <c r="J242" s="3"/>
      <c r="K242" s="3"/>
      <c r="L242" s="3"/>
      <c r="M242" s="3"/>
      <c r="N242" s="3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8">
        <f t="shared" si="22"/>
        <v>4</v>
      </c>
      <c r="F243" s="8">
        <f t="shared" si="2"/>
        <v>0</v>
      </c>
      <c r="G243" s="3"/>
      <c r="H243" s="3"/>
      <c r="I243" s="8">
        <f t="shared" si="3"/>
        <v>0</v>
      </c>
      <c r="J243" s="3"/>
      <c r="K243" s="3"/>
      <c r="L243" s="3"/>
      <c r="M243" s="3"/>
      <c r="N243" s="3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8">
        <f t="shared" si="22"/>
        <v>4</v>
      </c>
      <c r="F244" s="8">
        <f t="shared" si="2"/>
        <v>0</v>
      </c>
      <c r="G244" s="3"/>
      <c r="H244" s="3"/>
      <c r="I244" s="8">
        <f t="shared" si="3"/>
        <v>0</v>
      </c>
      <c r="J244" s="3"/>
      <c r="K244" s="3"/>
      <c r="L244" s="3"/>
      <c r="M244" s="3"/>
      <c r="N244" s="3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8">
        <f t="shared" si="22"/>
        <v>4</v>
      </c>
      <c r="F245" s="8">
        <f t="shared" si="2"/>
        <v>0</v>
      </c>
      <c r="G245" s="3"/>
      <c r="H245" s="3"/>
      <c r="I245" s="8">
        <f t="shared" si="3"/>
        <v>0</v>
      </c>
      <c r="J245" s="3"/>
      <c r="K245" s="3"/>
      <c r="L245" s="3"/>
      <c r="M245" s="3"/>
      <c r="N245" s="3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8">
        <f t="shared" si="22"/>
        <v>4</v>
      </c>
      <c r="F246" s="8">
        <f t="shared" si="2"/>
        <v>0</v>
      </c>
      <c r="G246" s="3"/>
      <c r="H246" s="3"/>
      <c r="I246" s="8">
        <f t="shared" si="3"/>
        <v>0</v>
      </c>
      <c r="J246" s="3"/>
      <c r="K246" s="3"/>
      <c r="L246" s="3"/>
      <c r="M246" s="3"/>
      <c r="N246" s="3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8">
        <f t="shared" si="22"/>
        <v>4</v>
      </c>
      <c r="F247" s="8">
        <f t="shared" si="2"/>
        <v>0</v>
      </c>
      <c r="G247" s="3"/>
      <c r="H247" s="3"/>
      <c r="I247" s="8">
        <f t="shared" si="3"/>
        <v>0</v>
      </c>
      <c r="J247" s="3"/>
      <c r="K247" s="3"/>
      <c r="L247" s="3"/>
      <c r="M247" s="3"/>
      <c r="N247" s="3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8">
        <f t="shared" si="22"/>
        <v>4</v>
      </c>
      <c r="F248" s="8">
        <f t="shared" si="2"/>
        <v>0</v>
      </c>
      <c r="G248" s="3"/>
      <c r="H248" s="3"/>
      <c r="I248" s="8">
        <f t="shared" si="3"/>
        <v>0</v>
      </c>
      <c r="J248" s="3"/>
      <c r="K248" s="3"/>
      <c r="L248" s="3"/>
      <c r="M248" s="3"/>
      <c r="N248" s="3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8">
        <f t="shared" si="22"/>
        <v>4</v>
      </c>
      <c r="F249" s="8">
        <f t="shared" si="2"/>
        <v>0</v>
      </c>
      <c r="G249" s="3"/>
      <c r="H249" s="3"/>
      <c r="I249" s="8">
        <f t="shared" si="3"/>
        <v>0</v>
      </c>
      <c r="J249" s="3"/>
      <c r="K249" s="3"/>
      <c r="L249" s="3"/>
      <c r="M249" s="3"/>
      <c r="N249" s="3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8">
        <f t="shared" si="22"/>
        <v>4</v>
      </c>
      <c r="F250" s="8">
        <f t="shared" si="2"/>
        <v>0</v>
      </c>
      <c r="G250" s="3"/>
      <c r="H250" s="3"/>
      <c r="I250" s="8">
        <f t="shared" si="3"/>
        <v>0</v>
      </c>
      <c r="J250" s="3"/>
      <c r="K250" s="3"/>
      <c r="L250" s="3"/>
      <c r="M250" s="3"/>
      <c r="N250" s="3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8">
        <f t="shared" si="22"/>
        <v>4</v>
      </c>
      <c r="F251" s="8">
        <f t="shared" si="2"/>
        <v>0</v>
      </c>
      <c r="G251" s="3"/>
      <c r="H251" s="3"/>
      <c r="I251" s="8">
        <f t="shared" si="3"/>
        <v>0</v>
      </c>
      <c r="J251" s="3"/>
      <c r="K251" s="3"/>
      <c r="L251" s="3"/>
      <c r="M251" s="3"/>
      <c r="N251" s="3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8">
        <f t="shared" si="22"/>
        <v>4</v>
      </c>
      <c r="F252" s="8">
        <f t="shared" si="2"/>
        <v>0</v>
      </c>
      <c r="G252" s="3"/>
      <c r="H252" s="3"/>
      <c r="I252" s="8">
        <f t="shared" si="3"/>
        <v>0</v>
      </c>
      <c r="J252" s="3"/>
      <c r="K252" s="3"/>
      <c r="L252" s="3"/>
      <c r="M252" s="3"/>
      <c r="N252" s="3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8">
        <f t="shared" si="22"/>
        <v>4</v>
      </c>
      <c r="F253" s="8">
        <f t="shared" si="2"/>
        <v>0</v>
      </c>
      <c r="G253" s="3"/>
      <c r="H253" s="3"/>
      <c r="I253" s="8">
        <f t="shared" si="3"/>
        <v>0</v>
      </c>
      <c r="J253" s="3"/>
      <c r="K253" s="3"/>
      <c r="L253" s="3"/>
      <c r="M253" s="3"/>
      <c r="N253" s="3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8">
        <f t="shared" si="22"/>
        <v>4</v>
      </c>
      <c r="F254" s="8">
        <f t="shared" si="2"/>
        <v>0</v>
      </c>
      <c r="G254" s="3"/>
      <c r="H254" s="3"/>
      <c r="I254" s="8">
        <f t="shared" si="3"/>
        <v>0</v>
      </c>
      <c r="J254" s="3"/>
      <c r="K254" s="3"/>
      <c r="L254" s="3"/>
      <c r="M254" s="3"/>
      <c r="N254" s="3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8">
        <f t="shared" si="22"/>
        <v>4</v>
      </c>
      <c r="F255" s="8">
        <f t="shared" si="2"/>
        <v>0</v>
      </c>
      <c r="G255" s="3"/>
      <c r="H255" s="3"/>
      <c r="I255" s="8">
        <f t="shared" si="3"/>
        <v>0</v>
      </c>
      <c r="J255" s="3"/>
      <c r="K255" s="3"/>
      <c r="L255" s="3"/>
      <c r="M255" s="3"/>
      <c r="N255" s="3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8">
        <f t="shared" si="22"/>
        <v>4</v>
      </c>
      <c r="F256" s="8">
        <f t="shared" si="2"/>
        <v>0</v>
      </c>
      <c r="G256" s="3"/>
      <c r="H256" s="3"/>
      <c r="I256" s="8">
        <f t="shared" si="3"/>
        <v>0</v>
      </c>
      <c r="J256" s="3"/>
      <c r="K256" s="3"/>
      <c r="L256" s="3"/>
      <c r="M256" s="3"/>
      <c r="N256" s="3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8">
        <f t="shared" si="22"/>
        <v>4</v>
      </c>
      <c r="F257" s="8">
        <f t="shared" si="2"/>
        <v>0</v>
      </c>
      <c r="G257" s="3"/>
      <c r="H257" s="3"/>
      <c r="I257" s="8">
        <f t="shared" si="3"/>
        <v>0</v>
      </c>
      <c r="J257" s="3"/>
      <c r="K257" s="3"/>
      <c r="L257" s="3"/>
      <c r="M257" s="3"/>
      <c r="N257" s="3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8">
        <f t="shared" si="22"/>
        <v>4</v>
      </c>
      <c r="F258" s="8">
        <f t="shared" si="2"/>
        <v>0</v>
      </c>
      <c r="G258" s="3"/>
      <c r="H258" s="3"/>
      <c r="I258" s="8">
        <f t="shared" si="3"/>
        <v>0</v>
      </c>
      <c r="J258" s="3"/>
      <c r="K258" s="3"/>
      <c r="L258" s="3"/>
      <c r="M258" s="3"/>
      <c r="N258" s="3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8">
        <f t="shared" si="22"/>
        <v>4</v>
      </c>
      <c r="F259" s="8">
        <f t="shared" si="2"/>
        <v>0</v>
      </c>
      <c r="G259" s="3"/>
      <c r="H259" s="3"/>
      <c r="I259" s="8">
        <f t="shared" si="3"/>
        <v>0</v>
      </c>
      <c r="J259" s="3"/>
      <c r="K259" s="3"/>
      <c r="L259" s="3"/>
      <c r="M259" s="3"/>
      <c r="N259" s="3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8">
        <f t="shared" si="22"/>
        <v>4</v>
      </c>
      <c r="F260" s="8">
        <f t="shared" si="2"/>
        <v>0</v>
      </c>
      <c r="G260" s="3"/>
      <c r="H260" s="3"/>
      <c r="I260" s="8">
        <f t="shared" si="3"/>
        <v>0</v>
      </c>
      <c r="J260" s="3"/>
      <c r="K260" s="3"/>
      <c r="L260" s="3"/>
      <c r="M260" s="3"/>
      <c r="N260" s="3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8">
        <f t="shared" si="22"/>
        <v>4</v>
      </c>
      <c r="F261" s="8">
        <f t="shared" si="2"/>
        <v>0</v>
      </c>
      <c r="G261" s="3"/>
      <c r="H261" s="3"/>
      <c r="I261" s="8">
        <f t="shared" si="3"/>
        <v>0</v>
      </c>
      <c r="J261" s="3"/>
      <c r="K261" s="3"/>
      <c r="L261" s="3"/>
      <c r="M261" s="3"/>
      <c r="N261" s="3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8">
        <f t="shared" si="22"/>
        <v>4</v>
      </c>
      <c r="F262" s="8">
        <f t="shared" si="2"/>
        <v>0</v>
      </c>
      <c r="G262" s="3"/>
      <c r="H262" s="3"/>
      <c r="I262" s="8">
        <f t="shared" si="3"/>
        <v>0</v>
      </c>
      <c r="J262" s="3"/>
      <c r="K262" s="3"/>
      <c r="L262" s="3"/>
      <c r="M262" s="3"/>
      <c r="N262" s="3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8">
        <f t="shared" si="22"/>
        <v>4</v>
      </c>
      <c r="F263" s="8">
        <f t="shared" si="2"/>
        <v>0</v>
      </c>
      <c r="G263" s="3"/>
      <c r="H263" s="3"/>
      <c r="I263" s="8">
        <f t="shared" si="3"/>
        <v>0</v>
      </c>
      <c r="J263" s="3"/>
      <c r="K263" s="3"/>
      <c r="L263" s="3"/>
      <c r="M263" s="3"/>
      <c r="N263" s="3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8">
        <f t="shared" si="22"/>
        <v>4</v>
      </c>
      <c r="F264" s="8">
        <f t="shared" si="2"/>
        <v>0</v>
      </c>
      <c r="G264" s="3"/>
      <c r="H264" s="3"/>
      <c r="I264" s="8">
        <f t="shared" si="3"/>
        <v>0</v>
      </c>
      <c r="J264" s="3"/>
      <c r="K264" s="3"/>
      <c r="L264" s="3"/>
      <c r="M264" s="3"/>
      <c r="N264" s="3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8">
        <f t="shared" si="22"/>
        <v>4</v>
      </c>
      <c r="F265" s="8">
        <f t="shared" si="2"/>
        <v>0</v>
      </c>
      <c r="G265" s="3"/>
      <c r="H265" s="3"/>
      <c r="I265" s="8">
        <f t="shared" si="3"/>
        <v>0</v>
      </c>
      <c r="J265" s="3"/>
      <c r="K265" s="3"/>
      <c r="L265" s="3"/>
      <c r="M265" s="3"/>
      <c r="N265" s="3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8">
        <f t="shared" si="22"/>
        <v>4</v>
      </c>
      <c r="F266" s="8">
        <f t="shared" si="2"/>
        <v>0</v>
      </c>
      <c r="G266" s="3"/>
      <c r="H266" s="3"/>
      <c r="I266" s="8">
        <f t="shared" si="3"/>
        <v>0</v>
      </c>
      <c r="J266" s="3"/>
      <c r="K266" s="3"/>
      <c r="L266" s="3"/>
      <c r="M266" s="3"/>
      <c r="N266" s="3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8">
        <f t="shared" si="22"/>
        <v>4</v>
      </c>
      <c r="F267" s="8">
        <f t="shared" si="2"/>
        <v>0</v>
      </c>
      <c r="G267" s="3"/>
      <c r="H267" s="3"/>
      <c r="I267" s="8">
        <f t="shared" si="3"/>
        <v>0</v>
      </c>
      <c r="J267" s="3"/>
      <c r="K267" s="3"/>
      <c r="L267" s="3"/>
      <c r="M267" s="3"/>
      <c r="N267" s="3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8">
        <f t="shared" si="22"/>
        <v>4</v>
      </c>
      <c r="F268" s="8">
        <f t="shared" si="2"/>
        <v>0</v>
      </c>
      <c r="G268" s="3"/>
      <c r="H268" s="3"/>
      <c r="I268" s="8">
        <f t="shared" si="3"/>
        <v>0</v>
      </c>
      <c r="J268" s="3"/>
      <c r="K268" s="3"/>
      <c r="L268" s="3"/>
      <c r="M268" s="3"/>
      <c r="N268" s="3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8">
        <f t="shared" si="22"/>
        <v>4</v>
      </c>
      <c r="F269" s="8">
        <f t="shared" si="2"/>
        <v>0</v>
      </c>
      <c r="G269" s="3"/>
      <c r="H269" s="3"/>
      <c r="I269" s="8">
        <f t="shared" si="3"/>
        <v>0</v>
      </c>
      <c r="J269" s="3"/>
      <c r="K269" s="3"/>
      <c r="L269" s="3"/>
      <c r="M269" s="3"/>
      <c r="N269" s="3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8">
        <f t="shared" si="22"/>
        <v>4</v>
      </c>
      <c r="F270" s="8">
        <f t="shared" si="2"/>
        <v>0</v>
      </c>
      <c r="G270" s="3"/>
      <c r="H270" s="3"/>
      <c r="I270" s="8">
        <f t="shared" si="3"/>
        <v>0</v>
      </c>
      <c r="J270" s="3"/>
      <c r="K270" s="3"/>
      <c r="L270" s="3"/>
      <c r="M270" s="3"/>
      <c r="N270" s="3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8">
        <f t="shared" si="22"/>
        <v>4</v>
      </c>
      <c r="F271" s="8">
        <f t="shared" si="2"/>
        <v>0</v>
      </c>
      <c r="G271" s="3"/>
      <c r="H271" s="3"/>
      <c r="I271" s="8">
        <f t="shared" si="3"/>
        <v>0</v>
      </c>
      <c r="J271" s="3"/>
      <c r="K271" s="3"/>
      <c r="L271" s="3"/>
      <c r="M271" s="3"/>
      <c r="N271" s="3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8">
        <f t="shared" si="22"/>
        <v>4</v>
      </c>
      <c r="F272" s="8">
        <f t="shared" si="2"/>
        <v>0</v>
      </c>
      <c r="G272" s="3"/>
      <c r="H272" s="3"/>
      <c r="I272" s="8">
        <f t="shared" si="3"/>
        <v>0</v>
      </c>
      <c r="J272" s="3"/>
      <c r="K272" s="3"/>
      <c r="L272" s="3"/>
      <c r="M272" s="3"/>
      <c r="N272" s="3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8">
        <f t="shared" si="22"/>
        <v>4</v>
      </c>
      <c r="F273" s="8">
        <f t="shared" si="2"/>
        <v>0</v>
      </c>
      <c r="G273" s="3"/>
      <c r="H273" s="3"/>
      <c r="I273" s="8">
        <f t="shared" si="3"/>
        <v>0</v>
      </c>
      <c r="J273" s="3"/>
      <c r="K273" s="3"/>
      <c r="L273" s="3"/>
      <c r="M273" s="3"/>
      <c r="N273" s="3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8">
        <f t="shared" ref="E274:E318" si="23">D274+5</f>
        <v>5</v>
      </c>
      <c r="F274" s="8">
        <f t="shared" si="2"/>
        <v>0</v>
      </c>
      <c r="G274" s="3"/>
      <c r="H274" s="3"/>
      <c r="I274" s="8">
        <f t="shared" si="3"/>
        <v>0</v>
      </c>
      <c r="J274" s="3"/>
      <c r="K274" s="3"/>
      <c r="L274" s="3"/>
      <c r="M274" s="3"/>
      <c r="N274" s="3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8">
        <f t="shared" si="23"/>
        <v>5</v>
      </c>
      <c r="F275" s="8">
        <f t="shared" si="2"/>
        <v>0</v>
      </c>
      <c r="G275" s="3"/>
      <c r="H275" s="3"/>
      <c r="I275" s="8">
        <f t="shared" si="3"/>
        <v>0</v>
      </c>
      <c r="J275" s="3"/>
      <c r="K275" s="3"/>
      <c r="L275" s="3"/>
      <c r="M275" s="3"/>
      <c r="N275" s="3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8">
        <f t="shared" si="23"/>
        <v>5</v>
      </c>
      <c r="F276" s="8">
        <f t="shared" si="2"/>
        <v>0</v>
      </c>
      <c r="G276" s="3"/>
      <c r="H276" s="3"/>
      <c r="I276" s="8">
        <f t="shared" si="3"/>
        <v>0</v>
      </c>
      <c r="J276" s="3"/>
      <c r="K276" s="3"/>
      <c r="L276" s="3"/>
      <c r="M276" s="3"/>
      <c r="N276" s="3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8">
        <f t="shared" si="23"/>
        <v>5</v>
      </c>
      <c r="F277" s="8">
        <f t="shared" si="2"/>
        <v>0</v>
      </c>
      <c r="G277" s="3"/>
      <c r="H277" s="3"/>
      <c r="I277" s="8">
        <f t="shared" si="3"/>
        <v>0</v>
      </c>
      <c r="J277" s="3"/>
      <c r="K277" s="3"/>
      <c r="L277" s="3"/>
      <c r="M277" s="3"/>
      <c r="N277" s="3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8">
        <f t="shared" si="23"/>
        <v>5</v>
      </c>
      <c r="F278" s="8">
        <f t="shared" si="2"/>
        <v>0</v>
      </c>
      <c r="G278" s="3"/>
      <c r="H278" s="3"/>
      <c r="I278" s="8">
        <f t="shared" si="3"/>
        <v>0</v>
      </c>
      <c r="J278" s="3"/>
      <c r="K278" s="3"/>
      <c r="L278" s="3"/>
      <c r="M278" s="3"/>
      <c r="N278" s="3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8">
        <f t="shared" si="23"/>
        <v>5</v>
      </c>
      <c r="F279" s="8">
        <f t="shared" si="2"/>
        <v>0</v>
      </c>
      <c r="G279" s="3"/>
      <c r="H279" s="3"/>
      <c r="I279" s="8">
        <f t="shared" si="3"/>
        <v>0</v>
      </c>
      <c r="J279" s="3"/>
      <c r="K279" s="3"/>
      <c r="L279" s="3"/>
      <c r="M279" s="3"/>
      <c r="N279" s="3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8">
        <f t="shared" si="23"/>
        <v>5</v>
      </c>
      <c r="F280" s="8">
        <f t="shared" si="2"/>
        <v>0</v>
      </c>
      <c r="G280" s="3"/>
      <c r="H280" s="3"/>
      <c r="I280" s="8">
        <f t="shared" si="3"/>
        <v>0</v>
      </c>
      <c r="J280" s="3"/>
      <c r="K280" s="3"/>
      <c r="L280" s="3"/>
      <c r="M280" s="3"/>
      <c r="N280" s="3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8">
        <f t="shared" si="23"/>
        <v>5</v>
      </c>
      <c r="F281" s="8">
        <f t="shared" si="2"/>
        <v>0</v>
      </c>
      <c r="G281" s="3"/>
      <c r="H281" s="3"/>
      <c r="I281" s="8">
        <f t="shared" si="3"/>
        <v>0</v>
      </c>
      <c r="J281" s="3"/>
      <c r="K281" s="3"/>
      <c r="L281" s="3"/>
      <c r="M281" s="3"/>
      <c r="N281" s="3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8">
        <f t="shared" si="23"/>
        <v>5</v>
      </c>
      <c r="F282" s="8">
        <f t="shared" si="2"/>
        <v>0</v>
      </c>
      <c r="G282" s="3"/>
      <c r="H282" s="3"/>
      <c r="I282" s="8">
        <f t="shared" si="3"/>
        <v>0</v>
      </c>
      <c r="J282" s="3"/>
      <c r="K282" s="3"/>
      <c r="L282" s="3"/>
      <c r="M282" s="3"/>
      <c r="N282" s="3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8">
        <f t="shared" si="23"/>
        <v>5</v>
      </c>
      <c r="F283" s="8">
        <f t="shared" si="2"/>
        <v>0</v>
      </c>
      <c r="G283" s="3"/>
      <c r="H283" s="3"/>
      <c r="I283" s="8">
        <f t="shared" si="3"/>
        <v>0</v>
      </c>
      <c r="J283" s="3"/>
      <c r="K283" s="3"/>
      <c r="L283" s="3"/>
      <c r="M283" s="3"/>
      <c r="N283" s="3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8">
        <f t="shared" si="23"/>
        <v>5</v>
      </c>
      <c r="F284" s="8">
        <f t="shared" si="2"/>
        <v>0</v>
      </c>
      <c r="G284" s="3"/>
      <c r="H284" s="3"/>
      <c r="I284" s="8">
        <f t="shared" si="3"/>
        <v>0</v>
      </c>
      <c r="J284" s="3"/>
      <c r="K284" s="3"/>
      <c r="L284" s="3"/>
      <c r="M284" s="3"/>
      <c r="N284" s="3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8">
        <f t="shared" si="23"/>
        <v>5</v>
      </c>
      <c r="F285" s="8">
        <f t="shared" si="2"/>
        <v>0</v>
      </c>
      <c r="G285" s="3"/>
      <c r="H285" s="3"/>
      <c r="I285" s="8">
        <f t="shared" si="3"/>
        <v>0</v>
      </c>
      <c r="J285" s="3"/>
      <c r="K285" s="3"/>
      <c r="L285" s="3"/>
      <c r="M285" s="3"/>
      <c r="N285" s="3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8">
        <f t="shared" si="23"/>
        <v>5</v>
      </c>
      <c r="F286" s="8">
        <f t="shared" si="2"/>
        <v>0</v>
      </c>
      <c r="G286" s="3"/>
      <c r="H286" s="3"/>
      <c r="I286" s="8">
        <f t="shared" si="3"/>
        <v>0</v>
      </c>
      <c r="J286" s="3"/>
      <c r="K286" s="3"/>
      <c r="L286" s="3"/>
      <c r="M286" s="3"/>
      <c r="N286" s="3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8">
        <f t="shared" si="23"/>
        <v>5</v>
      </c>
      <c r="F287" s="8">
        <f t="shared" si="2"/>
        <v>0</v>
      </c>
      <c r="G287" s="3"/>
      <c r="H287" s="3"/>
      <c r="I287" s="8">
        <f t="shared" si="3"/>
        <v>0</v>
      </c>
      <c r="J287" s="3"/>
      <c r="K287" s="3"/>
      <c r="L287" s="3"/>
      <c r="M287" s="3"/>
      <c r="N287" s="3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8">
        <f t="shared" si="23"/>
        <v>5</v>
      </c>
      <c r="F288" s="8">
        <f t="shared" si="2"/>
        <v>0</v>
      </c>
      <c r="G288" s="3"/>
      <c r="H288" s="3"/>
      <c r="I288" s="8">
        <f t="shared" si="3"/>
        <v>0</v>
      </c>
      <c r="J288" s="3"/>
      <c r="K288" s="3"/>
      <c r="L288" s="3"/>
      <c r="M288" s="3"/>
      <c r="N288" s="3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8">
        <f t="shared" si="23"/>
        <v>5</v>
      </c>
      <c r="F289" s="8">
        <f t="shared" si="2"/>
        <v>0</v>
      </c>
      <c r="G289" s="3"/>
      <c r="H289" s="3"/>
      <c r="I289" s="8">
        <f t="shared" si="3"/>
        <v>0</v>
      </c>
      <c r="J289" s="3"/>
      <c r="K289" s="3"/>
      <c r="L289" s="3"/>
      <c r="M289" s="3"/>
      <c r="N289" s="3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8">
        <f t="shared" si="23"/>
        <v>5</v>
      </c>
      <c r="F290" s="8">
        <f t="shared" si="2"/>
        <v>0</v>
      </c>
      <c r="G290" s="3"/>
      <c r="H290" s="3"/>
      <c r="I290" s="8">
        <f t="shared" si="3"/>
        <v>0</v>
      </c>
      <c r="J290" s="3"/>
      <c r="K290" s="3"/>
      <c r="L290" s="3"/>
      <c r="M290" s="3"/>
      <c r="N290" s="3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8">
        <f t="shared" si="23"/>
        <v>5</v>
      </c>
      <c r="F291" s="8">
        <f t="shared" si="2"/>
        <v>0</v>
      </c>
      <c r="G291" s="3"/>
      <c r="H291" s="3"/>
      <c r="I291" s="8">
        <f t="shared" si="3"/>
        <v>0</v>
      </c>
      <c r="J291" s="3"/>
      <c r="K291" s="3"/>
      <c r="L291" s="3"/>
      <c r="M291" s="3"/>
      <c r="N291" s="3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8">
        <f t="shared" si="23"/>
        <v>5</v>
      </c>
      <c r="F292" s="8">
        <f t="shared" si="2"/>
        <v>0</v>
      </c>
      <c r="G292" s="3"/>
      <c r="H292" s="3"/>
      <c r="I292" s="8">
        <f t="shared" si="3"/>
        <v>0</v>
      </c>
      <c r="J292" s="3"/>
      <c r="K292" s="3"/>
      <c r="L292" s="3"/>
      <c r="M292" s="3"/>
      <c r="N292" s="3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8">
        <f t="shared" si="23"/>
        <v>5</v>
      </c>
      <c r="F293" s="8">
        <f t="shared" si="2"/>
        <v>0</v>
      </c>
      <c r="G293" s="3"/>
      <c r="H293" s="3"/>
      <c r="I293" s="8">
        <f t="shared" si="3"/>
        <v>0</v>
      </c>
      <c r="J293" s="3"/>
      <c r="K293" s="3"/>
      <c r="L293" s="3"/>
      <c r="M293" s="3"/>
      <c r="N293" s="3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8">
        <f t="shared" si="23"/>
        <v>5</v>
      </c>
      <c r="F294" s="8">
        <f t="shared" si="2"/>
        <v>0</v>
      </c>
      <c r="G294" s="3"/>
      <c r="H294" s="3"/>
      <c r="I294" s="8">
        <f t="shared" si="3"/>
        <v>0</v>
      </c>
      <c r="J294" s="3"/>
      <c r="K294" s="3"/>
      <c r="L294" s="3"/>
      <c r="M294" s="3"/>
      <c r="N294" s="3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8">
        <f t="shared" si="23"/>
        <v>5</v>
      </c>
      <c r="F295" s="8">
        <f t="shared" si="2"/>
        <v>0</v>
      </c>
      <c r="G295" s="3"/>
      <c r="H295" s="3"/>
      <c r="I295" s="8">
        <f t="shared" si="3"/>
        <v>0</v>
      </c>
      <c r="J295" s="3"/>
      <c r="K295" s="3"/>
      <c r="L295" s="3"/>
      <c r="M295" s="3"/>
      <c r="N295" s="3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8">
        <f t="shared" si="23"/>
        <v>5</v>
      </c>
      <c r="F296" s="8">
        <f t="shared" si="2"/>
        <v>0</v>
      </c>
      <c r="G296" s="3"/>
      <c r="H296" s="3"/>
      <c r="I296" s="8">
        <f t="shared" si="3"/>
        <v>0</v>
      </c>
      <c r="J296" s="3"/>
      <c r="K296" s="3"/>
      <c r="L296" s="3"/>
      <c r="M296" s="3"/>
      <c r="N296" s="3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8">
        <f t="shared" si="23"/>
        <v>5</v>
      </c>
      <c r="F297" s="8">
        <f t="shared" si="2"/>
        <v>0</v>
      </c>
      <c r="G297" s="3"/>
      <c r="H297" s="3"/>
      <c r="I297" s="8">
        <f t="shared" si="3"/>
        <v>0</v>
      </c>
      <c r="J297" s="3"/>
      <c r="K297" s="3"/>
      <c r="L297" s="3"/>
      <c r="M297" s="3"/>
      <c r="N297" s="3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8">
        <f t="shared" si="23"/>
        <v>5</v>
      </c>
      <c r="F298" s="8">
        <f t="shared" si="2"/>
        <v>0</v>
      </c>
      <c r="G298" s="3"/>
      <c r="H298" s="3"/>
      <c r="I298" s="8">
        <f t="shared" si="3"/>
        <v>0</v>
      </c>
      <c r="J298" s="3"/>
      <c r="K298" s="3"/>
      <c r="L298" s="3"/>
      <c r="M298" s="3"/>
      <c r="N298" s="3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8">
        <f t="shared" si="23"/>
        <v>5</v>
      </c>
      <c r="F299" s="8">
        <f t="shared" si="2"/>
        <v>0</v>
      </c>
      <c r="G299" s="3"/>
      <c r="H299" s="3"/>
      <c r="I299" s="8">
        <f t="shared" si="3"/>
        <v>0</v>
      </c>
      <c r="J299" s="3"/>
      <c r="K299" s="3"/>
      <c r="L299" s="3"/>
      <c r="M299" s="3"/>
      <c r="N299" s="3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8">
        <f t="shared" si="23"/>
        <v>5</v>
      </c>
      <c r="F300" s="8">
        <f t="shared" si="2"/>
        <v>0</v>
      </c>
      <c r="G300" s="3"/>
      <c r="H300" s="3"/>
      <c r="I300" s="8">
        <f t="shared" si="3"/>
        <v>0</v>
      </c>
      <c r="J300" s="3"/>
      <c r="K300" s="3"/>
      <c r="L300" s="3"/>
      <c r="M300" s="3"/>
      <c r="N300" s="3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8">
        <f t="shared" si="23"/>
        <v>5</v>
      </c>
      <c r="F301" s="8">
        <f t="shared" si="2"/>
        <v>0</v>
      </c>
      <c r="G301" s="3"/>
      <c r="H301" s="3"/>
      <c r="I301" s="8">
        <f t="shared" si="3"/>
        <v>0</v>
      </c>
      <c r="J301" s="3"/>
      <c r="K301" s="3"/>
      <c r="L301" s="3"/>
      <c r="M301" s="3"/>
      <c r="N301" s="3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8">
        <f t="shared" si="23"/>
        <v>5</v>
      </c>
      <c r="F302" s="8">
        <f t="shared" si="2"/>
        <v>0</v>
      </c>
      <c r="G302" s="3"/>
      <c r="H302" s="3"/>
      <c r="I302" s="8">
        <f t="shared" si="3"/>
        <v>0</v>
      </c>
      <c r="J302" s="3"/>
      <c r="K302" s="3"/>
      <c r="L302" s="3"/>
      <c r="M302" s="3"/>
      <c r="N302" s="3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8">
        <f t="shared" si="23"/>
        <v>5</v>
      </c>
      <c r="F303" s="8">
        <f t="shared" si="2"/>
        <v>0</v>
      </c>
      <c r="G303" s="3"/>
      <c r="H303" s="3"/>
      <c r="I303" s="8">
        <f t="shared" si="3"/>
        <v>0</v>
      </c>
      <c r="J303" s="3"/>
      <c r="K303" s="3"/>
      <c r="L303" s="3"/>
      <c r="M303" s="3"/>
      <c r="N303" s="3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8">
        <f t="shared" si="23"/>
        <v>5</v>
      </c>
      <c r="F304" s="8">
        <f t="shared" si="2"/>
        <v>0</v>
      </c>
      <c r="G304" s="3"/>
      <c r="H304" s="3"/>
      <c r="I304" s="8">
        <f t="shared" si="3"/>
        <v>0</v>
      </c>
      <c r="J304" s="3"/>
      <c r="K304" s="3"/>
      <c r="L304" s="3"/>
      <c r="M304" s="3"/>
      <c r="N304" s="3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8">
        <f t="shared" si="23"/>
        <v>5</v>
      </c>
      <c r="F305" s="8">
        <f t="shared" si="2"/>
        <v>0</v>
      </c>
      <c r="G305" s="3"/>
      <c r="H305" s="3"/>
      <c r="I305" s="8">
        <f t="shared" si="3"/>
        <v>0</v>
      </c>
      <c r="J305" s="3"/>
      <c r="K305" s="3"/>
      <c r="L305" s="3"/>
      <c r="M305" s="3"/>
      <c r="N305" s="3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8">
        <f t="shared" si="23"/>
        <v>5</v>
      </c>
      <c r="F306" s="8">
        <f t="shared" si="2"/>
        <v>0</v>
      </c>
      <c r="G306" s="3"/>
      <c r="H306" s="3"/>
      <c r="I306" s="8">
        <f t="shared" si="3"/>
        <v>0</v>
      </c>
      <c r="J306" s="3"/>
      <c r="K306" s="3"/>
      <c r="L306" s="3"/>
      <c r="M306" s="3"/>
      <c r="N306" s="3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8">
        <f t="shared" si="23"/>
        <v>5</v>
      </c>
      <c r="F307" s="8">
        <f t="shared" si="2"/>
        <v>0</v>
      </c>
      <c r="G307" s="3"/>
      <c r="H307" s="3"/>
      <c r="I307" s="8">
        <f t="shared" si="3"/>
        <v>0</v>
      </c>
      <c r="J307" s="3"/>
      <c r="K307" s="3"/>
      <c r="L307" s="3"/>
      <c r="M307" s="3"/>
      <c r="N307" s="3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8">
        <f t="shared" si="23"/>
        <v>5</v>
      </c>
      <c r="F308" s="8">
        <f t="shared" si="2"/>
        <v>0</v>
      </c>
      <c r="G308" s="3"/>
      <c r="H308" s="3"/>
      <c r="I308" s="8">
        <f t="shared" si="3"/>
        <v>0</v>
      </c>
      <c r="J308" s="3"/>
      <c r="K308" s="3"/>
      <c r="L308" s="3"/>
      <c r="M308" s="3"/>
      <c r="N308" s="3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8">
        <f t="shared" si="23"/>
        <v>5</v>
      </c>
      <c r="F309" s="8">
        <f t="shared" si="2"/>
        <v>0</v>
      </c>
      <c r="G309" s="3"/>
      <c r="H309" s="3"/>
      <c r="I309" s="8">
        <f t="shared" si="3"/>
        <v>0</v>
      </c>
      <c r="J309" s="3"/>
      <c r="K309" s="3"/>
      <c r="L309" s="3"/>
      <c r="M309" s="3"/>
      <c r="N309" s="3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8">
        <f t="shared" si="23"/>
        <v>5</v>
      </c>
      <c r="F310" s="8">
        <f t="shared" si="2"/>
        <v>0</v>
      </c>
      <c r="G310" s="3"/>
      <c r="H310" s="3"/>
      <c r="I310" s="8">
        <f t="shared" si="3"/>
        <v>0</v>
      </c>
      <c r="J310" s="3"/>
      <c r="K310" s="3"/>
      <c r="L310" s="3"/>
      <c r="M310" s="3"/>
      <c r="N310" s="3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8">
        <f t="shared" si="23"/>
        <v>5</v>
      </c>
      <c r="F311" s="8">
        <f t="shared" si="2"/>
        <v>0</v>
      </c>
      <c r="G311" s="3"/>
      <c r="H311" s="3"/>
      <c r="I311" s="8">
        <f t="shared" si="3"/>
        <v>0</v>
      </c>
      <c r="J311" s="3"/>
      <c r="K311" s="3"/>
      <c r="L311" s="3"/>
      <c r="M311" s="3"/>
      <c r="N311" s="3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8">
        <f t="shared" si="23"/>
        <v>5</v>
      </c>
      <c r="F312" s="8">
        <f t="shared" si="2"/>
        <v>0</v>
      </c>
      <c r="G312" s="3"/>
      <c r="H312" s="3"/>
      <c r="I312" s="8">
        <f t="shared" si="3"/>
        <v>0</v>
      </c>
      <c r="J312" s="3"/>
      <c r="K312" s="3"/>
      <c r="L312" s="3"/>
      <c r="M312" s="3"/>
      <c r="N312" s="3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8">
        <f t="shared" si="23"/>
        <v>5</v>
      </c>
      <c r="F313" s="8">
        <f t="shared" si="2"/>
        <v>0</v>
      </c>
      <c r="G313" s="3"/>
      <c r="H313" s="3"/>
      <c r="I313" s="8">
        <f t="shared" si="3"/>
        <v>0</v>
      </c>
      <c r="J313" s="3"/>
      <c r="K313" s="3"/>
      <c r="L313" s="3"/>
      <c r="M313" s="3"/>
      <c r="N313" s="3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8">
        <f t="shared" si="23"/>
        <v>5</v>
      </c>
      <c r="F314" s="8">
        <f t="shared" si="2"/>
        <v>0</v>
      </c>
      <c r="G314" s="3"/>
      <c r="H314" s="3"/>
      <c r="I314" s="8">
        <f t="shared" si="3"/>
        <v>0</v>
      </c>
      <c r="J314" s="3"/>
      <c r="K314" s="3"/>
      <c r="L314" s="3"/>
      <c r="M314" s="3"/>
      <c r="N314" s="3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8">
        <f t="shared" si="23"/>
        <v>5</v>
      </c>
      <c r="F315" s="8">
        <f t="shared" si="2"/>
        <v>0</v>
      </c>
      <c r="G315" s="3"/>
      <c r="H315" s="3"/>
      <c r="I315" s="8">
        <f t="shared" si="3"/>
        <v>0</v>
      </c>
      <c r="J315" s="3"/>
      <c r="K315" s="3"/>
      <c r="L315" s="3"/>
      <c r="M315" s="3"/>
      <c r="N315" s="3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8">
        <f t="shared" si="23"/>
        <v>5</v>
      </c>
      <c r="F316" s="8">
        <f t="shared" si="2"/>
        <v>0</v>
      </c>
      <c r="G316" s="3"/>
      <c r="H316" s="3"/>
      <c r="I316" s="8">
        <f t="shared" si="3"/>
        <v>0</v>
      </c>
      <c r="J316" s="3"/>
      <c r="K316" s="3"/>
      <c r="L316" s="3"/>
      <c r="M316" s="3"/>
      <c r="N316" s="3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8">
        <f t="shared" si="23"/>
        <v>5</v>
      </c>
      <c r="F317" s="8">
        <f t="shared" si="2"/>
        <v>0</v>
      </c>
      <c r="G317" s="3"/>
      <c r="H317" s="3"/>
      <c r="I317" s="8">
        <f t="shared" si="3"/>
        <v>0</v>
      </c>
      <c r="J317" s="3"/>
      <c r="K317" s="3"/>
      <c r="L317" s="3"/>
      <c r="M317" s="3"/>
      <c r="N317" s="3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8">
        <f t="shared" si="23"/>
        <v>5</v>
      </c>
      <c r="F318" s="8">
        <f t="shared" si="2"/>
        <v>0</v>
      </c>
      <c r="G318" s="3"/>
      <c r="H318" s="3"/>
      <c r="I318" s="8">
        <f t="shared" si="3"/>
        <v>0</v>
      </c>
      <c r="J318" s="3"/>
      <c r="K318" s="3"/>
      <c r="L318" s="3"/>
      <c r="M318" s="3"/>
      <c r="N318" s="3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8"/>
      <c r="F319" s="3"/>
      <c r="G319" s="3"/>
      <c r="H319" s="3"/>
      <c r="I319" s="8">
        <f t="shared" si="3"/>
        <v>0</v>
      </c>
      <c r="J319" s="3"/>
      <c r="K319" s="3"/>
      <c r="L319" s="3"/>
      <c r="M319" s="3"/>
      <c r="N319" s="3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8"/>
      <c r="F320" s="3"/>
      <c r="G320" s="3"/>
      <c r="H320" s="3"/>
      <c r="I320" s="8">
        <f t="shared" si="3"/>
        <v>0</v>
      </c>
      <c r="J320" s="3"/>
      <c r="K320" s="3"/>
      <c r="L320" s="3"/>
      <c r="M320" s="3"/>
      <c r="N320" s="3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8"/>
      <c r="F321" s="3"/>
      <c r="G321" s="3"/>
      <c r="H321" s="3"/>
      <c r="I321" s="8">
        <f t="shared" si="3"/>
        <v>0</v>
      </c>
      <c r="J321" s="3"/>
      <c r="K321" s="3"/>
      <c r="L321" s="3"/>
      <c r="M321" s="3"/>
      <c r="N321" s="3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8"/>
      <c r="F322" s="3"/>
      <c r="G322" s="3"/>
      <c r="H322" s="3"/>
      <c r="I322" s="8">
        <f t="shared" si="3"/>
        <v>0</v>
      </c>
      <c r="J322" s="3"/>
      <c r="K322" s="3"/>
      <c r="L322" s="3"/>
      <c r="M322" s="3"/>
      <c r="N322" s="3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8"/>
      <c r="F323" s="3"/>
      <c r="G323" s="3"/>
      <c r="H323" s="3"/>
      <c r="I323" s="8">
        <f t="shared" si="3"/>
        <v>0</v>
      </c>
      <c r="J323" s="3"/>
      <c r="K323" s="3"/>
      <c r="L323" s="3"/>
      <c r="M323" s="3"/>
      <c r="N323" s="3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8"/>
      <c r="F324" s="3"/>
      <c r="G324" s="3"/>
      <c r="H324" s="3"/>
      <c r="I324" s="8">
        <f t="shared" si="3"/>
        <v>0</v>
      </c>
      <c r="J324" s="3"/>
      <c r="K324" s="3"/>
      <c r="L324" s="3"/>
      <c r="M324" s="3"/>
      <c r="N324" s="3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8"/>
      <c r="F325" s="3"/>
      <c r="G325" s="3"/>
      <c r="H325" s="3"/>
      <c r="I325" s="8">
        <f t="shared" si="3"/>
        <v>0</v>
      </c>
      <c r="J325" s="3"/>
      <c r="K325" s="3"/>
      <c r="L325" s="3"/>
      <c r="M325" s="3"/>
      <c r="N325" s="3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8"/>
      <c r="F326" s="3"/>
      <c r="G326" s="3"/>
      <c r="H326" s="3"/>
      <c r="I326" s="8">
        <f t="shared" si="3"/>
        <v>0</v>
      </c>
      <c r="J326" s="3"/>
      <c r="K326" s="3"/>
      <c r="L326" s="3"/>
      <c r="M326" s="3"/>
      <c r="N326" s="3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8"/>
      <c r="F327" s="3"/>
      <c r="G327" s="3"/>
      <c r="H327" s="3"/>
      <c r="I327" s="8">
        <f t="shared" si="3"/>
        <v>0</v>
      </c>
      <c r="J327" s="3"/>
      <c r="K327" s="3"/>
      <c r="L327" s="3"/>
      <c r="M327" s="3"/>
      <c r="N327" s="3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8"/>
      <c r="F328" s="3"/>
      <c r="G328" s="3"/>
      <c r="H328" s="3"/>
      <c r="I328" s="8">
        <f t="shared" si="3"/>
        <v>0</v>
      </c>
      <c r="J328" s="3"/>
      <c r="K328" s="3"/>
      <c r="L328" s="3"/>
      <c r="M328" s="3"/>
      <c r="N328" s="3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8"/>
      <c r="F329" s="3"/>
      <c r="G329" s="3"/>
      <c r="H329" s="3"/>
      <c r="I329" s="8">
        <f t="shared" si="3"/>
        <v>0</v>
      </c>
      <c r="J329" s="3"/>
      <c r="K329" s="3"/>
      <c r="L329" s="3"/>
      <c r="M329" s="3"/>
      <c r="N329" s="3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8"/>
      <c r="F330" s="3"/>
      <c r="G330" s="3"/>
      <c r="H330" s="3"/>
      <c r="I330" s="8">
        <f t="shared" si="3"/>
        <v>0</v>
      </c>
      <c r="J330" s="3"/>
      <c r="K330" s="3"/>
      <c r="L330" s="3"/>
      <c r="M330" s="3"/>
      <c r="N330" s="3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8"/>
      <c r="F331" s="3"/>
      <c r="G331" s="3"/>
      <c r="H331" s="3"/>
      <c r="I331" s="8">
        <f t="shared" si="3"/>
        <v>0</v>
      </c>
      <c r="J331" s="3"/>
      <c r="K331" s="3"/>
      <c r="L331" s="3"/>
      <c r="M331" s="3"/>
      <c r="N331" s="3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8"/>
      <c r="F332" s="3"/>
      <c r="G332" s="3"/>
      <c r="H332" s="3"/>
      <c r="I332" s="8">
        <f t="shared" si="3"/>
        <v>0</v>
      </c>
      <c r="J332" s="3"/>
      <c r="K332" s="3"/>
      <c r="L332" s="3"/>
      <c r="M332" s="3"/>
      <c r="N332" s="3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8"/>
      <c r="F333" s="3"/>
      <c r="G333" s="3"/>
      <c r="H333" s="3"/>
      <c r="I333" s="8">
        <f t="shared" si="3"/>
        <v>0</v>
      </c>
      <c r="J333" s="3"/>
      <c r="K333" s="3"/>
      <c r="L333" s="3"/>
      <c r="M333" s="3"/>
      <c r="N333" s="3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8"/>
      <c r="F334" s="3"/>
      <c r="G334" s="3"/>
      <c r="H334" s="3"/>
      <c r="I334" s="8">
        <f t="shared" si="3"/>
        <v>0</v>
      </c>
      <c r="J334" s="3"/>
      <c r="K334" s="3"/>
      <c r="L334" s="3"/>
      <c r="M334" s="3"/>
      <c r="N334" s="3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8"/>
      <c r="F335" s="3"/>
      <c r="G335" s="3"/>
      <c r="H335" s="3"/>
      <c r="I335" s="8">
        <f t="shared" si="3"/>
        <v>0</v>
      </c>
      <c r="J335" s="3"/>
      <c r="K335" s="3"/>
      <c r="L335" s="3"/>
      <c r="M335" s="3"/>
      <c r="N335" s="3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8"/>
      <c r="F336" s="3"/>
      <c r="G336" s="3"/>
      <c r="H336" s="3"/>
      <c r="I336" s="8">
        <f t="shared" si="3"/>
        <v>0</v>
      </c>
      <c r="J336" s="3"/>
      <c r="K336" s="3"/>
      <c r="L336" s="3"/>
      <c r="M336" s="3"/>
      <c r="N336" s="3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8"/>
      <c r="F337" s="3"/>
      <c r="G337" s="3"/>
      <c r="H337" s="3"/>
      <c r="I337" s="8">
        <f t="shared" si="3"/>
        <v>0</v>
      </c>
      <c r="J337" s="3"/>
      <c r="K337" s="3"/>
      <c r="L337" s="3"/>
      <c r="M337" s="3"/>
      <c r="N337" s="3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8"/>
      <c r="F338" s="3"/>
      <c r="G338" s="3"/>
      <c r="H338" s="3"/>
      <c r="I338" s="8">
        <f t="shared" si="3"/>
        <v>0</v>
      </c>
      <c r="J338" s="3"/>
      <c r="K338" s="3"/>
      <c r="L338" s="3"/>
      <c r="M338" s="3"/>
      <c r="N338" s="3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8"/>
      <c r="F339" s="3"/>
      <c r="G339" s="3"/>
      <c r="H339" s="3"/>
      <c r="I339" s="8">
        <f t="shared" si="3"/>
        <v>0</v>
      </c>
      <c r="J339" s="3"/>
      <c r="K339" s="3"/>
      <c r="L339" s="3"/>
      <c r="M339" s="3"/>
      <c r="N339" s="3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8"/>
      <c r="F340" s="3"/>
      <c r="G340" s="3"/>
      <c r="H340" s="3"/>
      <c r="I340" s="8">
        <f t="shared" si="3"/>
        <v>0</v>
      </c>
      <c r="J340" s="3"/>
      <c r="K340" s="3"/>
      <c r="L340" s="3"/>
      <c r="M340" s="3"/>
      <c r="N340" s="3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8"/>
      <c r="F341" s="3"/>
      <c r="G341" s="3"/>
      <c r="H341" s="3"/>
      <c r="I341" s="8">
        <f t="shared" si="3"/>
        <v>0</v>
      </c>
      <c r="J341" s="3"/>
      <c r="K341" s="3"/>
      <c r="L341" s="3"/>
      <c r="M341" s="3"/>
      <c r="N341" s="3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8"/>
      <c r="F342" s="3"/>
      <c r="G342" s="3"/>
      <c r="H342" s="3"/>
      <c r="I342" s="8">
        <f t="shared" si="3"/>
        <v>0</v>
      </c>
      <c r="J342" s="3"/>
      <c r="K342" s="3"/>
      <c r="L342" s="3"/>
      <c r="M342" s="3"/>
      <c r="N342" s="3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8"/>
      <c r="F343" s="3"/>
      <c r="G343" s="3"/>
      <c r="H343" s="3"/>
      <c r="I343" s="8">
        <f t="shared" si="3"/>
        <v>0</v>
      </c>
      <c r="J343" s="3"/>
      <c r="K343" s="3"/>
      <c r="L343" s="3"/>
      <c r="M343" s="3"/>
      <c r="N343" s="3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8"/>
      <c r="F344" s="3"/>
      <c r="G344" s="3"/>
      <c r="H344" s="3"/>
      <c r="I344" s="8">
        <f t="shared" si="3"/>
        <v>0</v>
      </c>
      <c r="J344" s="3"/>
      <c r="K344" s="3"/>
      <c r="L344" s="3"/>
      <c r="M344" s="3"/>
      <c r="N344" s="3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8"/>
      <c r="F345" s="3"/>
      <c r="G345" s="3"/>
      <c r="H345" s="3"/>
      <c r="I345" s="8">
        <f t="shared" si="3"/>
        <v>0</v>
      </c>
      <c r="J345" s="3"/>
      <c r="K345" s="3"/>
      <c r="L345" s="3"/>
      <c r="M345" s="3"/>
      <c r="N345" s="3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8"/>
      <c r="F346" s="3"/>
      <c r="G346" s="3"/>
      <c r="H346" s="3"/>
      <c r="I346" s="8">
        <f t="shared" si="3"/>
        <v>0</v>
      </c>
      <c r="J346" s="3"/>
      <c r="K346" s="3"/>
      <c r="L346" s="3"/>
      <c r="M346" s="3"/>
      <c r="N346" s="3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8"/>
      <c r="F347" s="3"/>
      <c r="G347" s="3"/>
      <c r="H347" s="3"/>
      <c r="I347" s="8">
        <f t="shared" si="3"/>
        <v>0</v>
      </c>
      <c r="J347" s="3"/>
      <c r="K347" s="3"/>
      <c r="L347" s="3"/>
      <c r="M347" s="3"/>
      <c r="N347" s="3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8"/>
      <c r="F348" s="3"/>
      <c r="G348" s="3"/>
      <c r="H348" s="3"/>
      <c r="I348" s="8">
        <f t="shared" si="3"/>
        <v>0</v>
      </c>
      <c r="J348" s="3"/>
      <c r="K348" s="3"/>
      <c r="L348" s="3"/>
      <c r="M348" s="3"/>
      <c r="N348" s="3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8"/>
      <c r="F349" s="3"/>
      <c r="G349" s="3"/>
      <c r="H349" s="3"/>
      <c r="I349" s="8">
        <f t="shared" si="3"/>
        <v>0</v>
      </c>
      <c r="J349" s="3"/>
      <c r="K349" s="3"/>
      <c r="L349" s="3"/>
      <c r="M349" s="3"/>
      <c r="N349" s="3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8"/>
      <c r="F350" s="3"/>
      <c r="G350" s="3"/>
      <c r="H350" s="3"/>
      <c r="I350" s="8">
        <f t="shared" si="3"/>
        <v>0</v>
      </c>
      <c r="J350" s="3"/>
      <c r="K350" s="3"/>
      <c r="L350" s="3"/>
      <c r="M350" s="3"/>
      <c r="N350" s="3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8"/>
      <c r="F351" s="3"/>
      <c r="G351" s="3"/>
      <c r="H351" s="3"/>
      <c r="I351" s="8">
        <f t="shared" si="3"/>
        <v>0</v>
      </c>
      <c r="J351" s="3"/>
      <c r="K351" s="3"/>
      <c r="L351" s="3"/>
      <c r="M351" s="3"/>
      <c r="N351" s="3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8"/>
      <c r="F352" s="3"/>
      <c r="G352" s="3"/>
      <c r="H352" s="3"/>
      <c r="I352" s="8">
        <f t="shared" si="3"/>
        <v>0</v>
      </c>
      <c r="J352" s="3"/>
      <c r="K352" s="3"/>
      <c r="L352" s="3"/>
      <c r="M352" s="3"/>
      <c r="N352" s="3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8"/>
      <c r="F353" s="3"/>
      <c r="G353" s="3"/>
      <c r="H353" s="3"/>
      <c r="I353" s="8">
        <f t="shared" si="3"/>
        <v>0</v>
      </c>
      <c r="J353" s="3"/>
      <c r="K353" s="3"/>
      <c r="L353" s="3"/>
      <c r="M353" s="3"/>
      <c r="N353" s="3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8"/>
      <c r="F354" s="3"/>
      <c r="G354" s="3"/>
      <c r="H354" s="3"/>
      <c r="I354" s="8">
        <f t="shared" si="3"/>
        <v>0</v>
      </c>
      <c r="J354" s="3"/>
      <c r="K354" s="3"/>
      <c r="L354" s="3"/>
      <c r="M354" s="3"/>
      <c r="N354" s="3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8">
        <f t="shared" si="3"/>
        <v>0</v>
      </c>
      <c r="J355" s="3"/>
      <c r="K355" s="3"/>
      <c r="L355" s="3"/>
      <c r="M355" s="3"/>
      <c r="N355" s="3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8">
        <f t="shared" si="3"/>
        <v>0</v>
      </c>
      <c r="J356" s="3"/>
      <c r="K356" s="3"/>
      <c r="L356" s="3"/>
      <c r="M356" s="3"/>
      <c r="N356" s="3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8">
        <f t="shared" si="3"/>
        <v>0</v>
      </c>
      <c r="J357" s="3"/>
      <c r="K357" s="3"/>
      <c r="L357" s="3"/>
      <c r="M357" s="3"/>
      <c r="N357" s="3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8">
        <f t="shared" si="3"/>
        <v>0</v>
      </c>
      <c r="J358" s="3"/>
      <c r="K358" s="3"/>
      <c r="L358" s="3"/>
      <c r="M358" s="3"/>
      <c r="N358" s="3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8">
        <f t="shared" si="3"/>
        <v>0</v>
      </c>
      <c r="J359" s="3"/>
      <c r="K359" s="3"/>
      <c r="L359" s="3"/>
      <c r="M359" s="3"/>
      <c r="N359" s="3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8">
        <f t="shared" si="3"/>
        <v>0</v>
      </c>
      <c r="J360" s="3"/>
      <c r="K360" s="3"/>
      <c r="L360" s="3"/>
      <c r="M360" s="3"/>
      <c r="N360" s="3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8">
        <f t="shared" si="3"/>
        <v>0</v>
      </c>
      <c r="J361" s="3"/>
      <c r="K361" s="3"/>
      <c r="L361" s="3"/>
      <c r="M361" s="3"/>
      <c r="N361" s="3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8">
        <f t="shared" si="3"/>
        <v>0</v>
      </c>
      <c r="J362" s="3"/>
      <c r="K362" s="3"/>
      <c r="L362" s="3"/>
      <c r="M362" s="3"/>
      <c r="N362" s="3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8">
        <f t="shared" si="3"/>
        <v>0</v>
      </c>
      <c r="J363" s="3"/>
      <c r="K363" s="3"/>
      <c r="L363" s="3"/>
      <c r="M363" s="3"/>
      <c r="N363" s="3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8">
        <f t="shared" si="3"/>
        <v>0</v>
      </c>
      <c r="J364" s="3"/>
      <c r="K364" s="3"/>
      <c r="L364" s="3"/>
      <c r="M364" s="3"/>
      <c r="N364" s="3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8">
        <f t="shared" si="3"/>
        <v>0</v>
      </c>
      <c r="J365" s="3"/>
      <c r="K365" s="3"/>
      <c r="L365" s="3"/>
      <c r="M365" s="3"/>
      <c r="N365" s="3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8">
        <f t="shared" si="3"/>
        <v>0</v>
      </c>
      <c r="J366" s="3"/>
      <c r="K366" s="3"/>
      <c r="L366" s="3"/>
      <c r="M366" s="3"/>
      <c r="N366" s="3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8">
        <f t="shared" si="3"/>
        <v>0</v>
      </c>
      <c r="J367" s="3"/>
      <c r="K367" s="3"/>
      <c r="L367" s="3"/>
      <c r="M367" s="3"/>
      <c r="N367" s="3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8">
        <f t="shared" si="3"/>
        <v>0</v>
      </c>
      <c r="J368" s="3"/>
      <c r="K368" s="3"/>
      <c r="L368" s="3"/>
      <c r="M368" s="3"/>
      <c r="N368" s="3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8">
        <f t="shared" si="3"/>
        <v>0</v>
      </c>
      <c r="J369" s="3"/>
      <c r="K369" s="3"/>
      <c r="L369" s="3"/>
      <c r="M369" s="3"/>
      <c r="N369" s="3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8">
        <f t="shared" si="3"/>
        <v>0</v>
      </c>
      <c r="J370" s="3"/>
      <c r="K370" s="3"/>
      <c r="L370" s="3"/>
      <c r="M370" s="3"/>
      <c r="N370" s="3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8">
        <f t="shared" si="3"/>
        <v>0</v>
      </c>
      <c r="J371" s="3"/>
      <c r="K371" s="3"/>
      <c r="L371" s="3"/>
      <c r="M371" s="3"/>
      <c r="N371" s="3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8">
        <f t="shared" si="3"/>
        <v>0</v>
      </c>
      <c r="J372" s="3"/>
      <c r="K372" s="3"/>
      <c r="L372" s="3"/>
      <c r="M372" s="3"/>
      <c r="N372" s="3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8">
        <f t="shared" si="3"/>
        <v>0</v>
      </c>
      <c r="J373" s="3"/>
      <c r="K373" s="3"/>
      <c r="L373" s="3"/>
      <c r="M373" s="3"/>
      <c r="N373" s="3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8">
        <f t="shared" si="3"/>
        <v>0</v>
      </c>
      <c r="J374" s="3"/>
      <c r="K374" s="3"/>
      <c r="L374" s="3"/>
      <c r="M374" s="3"/>
      <c r="N374" s="3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8">
        <f t="shared" si="3"/>
        <v>0</v>
      </c>
      <c r="J375" s="3"/>
      <c r="K375" s="3"/>
      <c r="L375" s="3"/>
      <c r="M375" s="3"/>
      <c r="N375" s="3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8">
        <f t="shared" si="3"/>
        <v>0</v>
      </c>
      <c r="J376" s="3"/>
      <c r="K376" s="3"/>
      <c r="L376" s="3"/>
      <c r="M376" s="3"/>
      <c r="N376" s="3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8">
        <f t="shared" si="3"/>
        <v>0</v>
      </c>
      <c r="J377" s="3"/>
      <c r="K377" s="3"/>
      <c r="L377" s="3"/>
      <c r="M377" s="3"/>
      <c r="N377" s="3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8">
        <f t="shared" si="3"/>
        <v>0</v>
      </c>
      <c r="J378" s="3"/>
      <c r="K378" s="3"/>
      <c r="L378" s="3"/>
      <c r="M378" s="3"/>
      <c r="N378" s="3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8">
        <f t="shared" si="3"/>
        <v>0</v>
      </c>
      <c r="J379" s="3"/>
      <c r="K379" s="3"/>
      <c r="L379" s="3"/>
      <c r="M379" s="3"/>
      <c r="N379" s="3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8">
        <f t="shared" si="3"/>
        <v>0</v>
      </c>
      <c r="J380" s="3"/>
      <c r="K380" s="3"/>
      <c r="L380" s="3"/>
      <c r="M380" s="3"/>
      <c r="N380" s="3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8">
        <f t="shared" si="3"/>
        <v>0</v>
      </c>
      <c r="J381" s="3"/>
      <c r="K381" s="3"/>
      <c r="L381" s="3"/>
      <c r="M381" s="3"/>
      <c r="N381" s="3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8">
        <f t="shared" si="3"/>
        <v>0</v>
      </c>
      <c r="J382" s="3"/>
      <c r="K382" s="3"/>
      <c r="L382" s="3"/>
      <c r="M382" s="3"/>
      <c r="N382" s="3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8">
        <f t="shared" si="3"/>
        <v>0</v>
      </c>
      <c r="J383" s="3"/>
      <c r="K383" s="3"/>
      <c r="L383" s="3"/>
      <c r="M383" s="3"/>
      <c r="N383" s="3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8">
        <f t="shared" si="3"/>
        <v>0</v>
      </c>
      <c r="J384" s="3"/>
      <c r="K384" s="3"/>
      <c r="L384" s="3"/>
      <c r="M384" s="3"/>
      <c r="N384" s="3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8">
        <f t="shared" si="3"/>
        <v>0</v>
      </c>
      <c r="J385" s="3"/>
      <c r="K385" s="3"/>
      <c r="L385" s="3"/>
      <c r="M385" s="3"/>
      <c r="N385" s="3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8">
        <f t="shared" si="3"/>
        <v>0</v>
      </c>
      <c r="J386" s="3"/>
      <c r="K386" s="3"/>
      <c r="L386" s="3"/>
      <c r="M386" s="3"/>
      <c r="N386" s="3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8">
        <f t="shared" si="3"/>
        <v>0</v>
      </c>
      <c r="J387" s="3"/>
      <c r="K387" s="3"/>
      <c r="L387" s="3"/>
      <c r="M387" s="3"/>
      <c r="N387" s="3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8">
        <f t="shared" si="3"/>
        <v>0</v>
      </c>
      <c r="J388" s="3"/>
      <c r="K388" s="3"/>
      <c r="L388" s="3"/>
      <c r="M388" s="3"/>
      <c r="N388" s="3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8">
        <f t="shared" si="3"/>
        <v>0</v>
      </c>
      <c r="J389" s="3"/>
      <c r="K389" s="3"/>
      <c r="L389" s="3"/>
      <c r="M389" s="3"/>
      <c r="N389" s="3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8">
        <f t="shared" si="3"/>
        <v>0</v>
      </c>
      <c r="J390" s="3"/>
      <c r="K390" s="3"/>
      <c r="L390" s="3"/>
      <c r="M390" s="3"/>
      <c r="N390" s="3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8">
        <f t="shared" si="3"/>
        <v>0</v>
      </c>
      <c r="J391" s="3"/>
      <c r="K391" s="3"/>
      <c r="L391" s="3"/>
      <c r="M391" s="3"/>
      <c r="N391" s="3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8">
        <f t="shared" si="3"/>
        <v>0</v>
      </c>
      <c r="J392" s="3"/>
      <c r="K392" s="3"/>
      <c r="L392" s="3"/>
      <c r="M392" s="3"/>
      <c r="N392" s="3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8">
        <f t="shared" si="3"/>
        <v>0</v>
      </c>
      <c r="J393" s="3"/>
      <c r="K393" s="3"/>
      <c r="L393" s="3"/>
      <c r="M393" s="3"/>
      <c r="N393" s="3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8">
        <f t="shared" si="3"/>
        <v>0</v>
      </c>
      <c r="J394" s="3"/>
      <c r="K394" s="3"/>
      <c r="L394" s="3"/>
      <c r="M394" s="3"/>
      <c r="N394" s="3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8">
        <f t="shared" si="3"/>
        <v>0</v>
      </c>
      <c r="J395" s="3"/>
      <c r="K395" s="3"/>
      <c r="L395" s="3"/>
      <c r="M395" s="3"/>
      <c r="N395" s="3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8">
        <f t="shared" si="3"/>
        <v>0</v>
      </c>
      <c r="J396" s="3"/>
      <c r="K396" s="3"/>
      <c r="L396" s="3"/>
      <c r="M396" s="3"/>
      <c r="N396" s="3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8">
        <f t="shared" si="3"/>
        <v>0</v>
      </c>
      <c r="J397" s="3"/>
      <c r="K397" s="3"/>
      <c r="L397" s="3"/>
      <c r="M397" s="3"/>
      <c r="N397" s="3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8">
        <f t="shared" si="3"/>
        <v>0</v>
      </c>
      <c r="J398" s="3"/>
      <c r="K398" s="3"/>
      <c r="L398" s="3"/>
      <c r="M398" s="3"/>
      <c r="N398" s="3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8">
        <f t="shared" si="3"/>
        <v>0</v>
      </c>
      <c r="J399" s="3"/>
      <c r="K399" s="3"/>
      <c r="L399" s="3"/>
      <c r="M399" s="3"/>
      <c r="N399" s="3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8">
        <f t="shared" si="3"/>
        <v>0</v>
      </c>
      <c r="J400" s="3"/>
      <c r="K400" s="3"/>
      <c r="L400" s="3"/>
      <c r="M400" s="3"/>
      <c r="N400" s="3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8">
        <f t="shared" si="3"/>
        <v>0</v>
      </c>
      <c r="J401" s="3"/>
      <c r="K401" s="3"/>
      <c r="L401" s="3"/>
      <c r="M401" s="3"/>
      <c r="N401" s="3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8">
        <f t="shared" si="3"/>
        <v>0</v>
      </c>
      <c r="J402" s="3"/>
      <c r="K402" s="3"/>
      <c r="L402" s="3"/>
      <c r="M402" s="3"/>
      <c r="N402" s="3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8">
        <f t="shared" si="3"/>
        <v>0</v>
      </c>
      <c r="J403" s="3"/>
      <c r="K403" s="3"/>
      <c r="L403" s="3"/>
      <c r="M403" s="3"/>
      <c r="N403" s="3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8">
        <f t="shared" si="3"/>
        <v>0</v>
      </c>
      <c r="J404" s="3"/>
      <c r="K404" s="3"/>
      <c r="L404" s="3"/>
      <c r="M404" s="3"/>
      <c r="N404" s="3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8">
        <f t="shared" si="3"/>
        <v>0</v>
      </c>
      <c r="J405" s="3"/>
      <c r="K405" s="3"/>
      <c r="L405" s="3"/>
      <c r="M405" s="3"/>
      <c r="N405" s="3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8">
        <f t="shared" si="3"/>
        <v>0</v>
      </c>
      <c r="J406" s="3"/>
      <c r="K406" s="3"/>
      <c r="L406" s="3"/>
      <c r="M406" s="3"/>
      <c r="N406" s="3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8">
        <f t="shared" si="3"/>
        <v>0</v>
      </c>
      <c r="J407" s="3"/>
      <c r="K407" s="3"/>
      <c r="L407" s="3"/>
      <c r="M407" s="3"/>
      <c r="N407" s="3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8">
        <f t="shared" si="3"/>
        <v>0</v>
      </c>
      <c r="J408" s="3"/>
      <c r="K408" s="3"/>
      <c r="L408" s="3"/>
      <c r="M408" s="3"/>
      <c r="N408" s="3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8">
        <f t="shared" si="3"/>
        <v>0</v>
      </c>
      <c r="J409" s="3"/>
      <c r="K409" s="3"/>
      <c r="L409" s="3"/>
      <c r="M409" s="3"/>
      <c r="N409" s="3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8">
        <f t="shared" si="3"/>
        <v>0</v>
      </c>
      <c r="J410" s="3"/>
      <c r="K410" s="3"/>
      <c r="L410" s="3"/>
      <c r="M410" s="3"/>
      <c r="N410" s="3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8">
        <f t="shared" si="3"/>
        <v>0</v>
      </c>
      <c r="J411" s="3"/>
      <c r="K411" s="3"/>
      <c r="L411" s="3"/>
      <c r="M411" s="3"/>
      <c r="N411" s="3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8">
        <f t="shared" si="3"/>
        <v>0</v>
      </c>
      <c r="J412" s="3"/>
      <c r="K412" s="3"/>
      <c r="L412" s="3"/>
      <c r="M412" s="3"/>
      <c r="N412" s="3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8">
        <f t="shared" si="3"/>
        <v>0</v>
      </c>
      <c r="J413" s="3"/>
      <c r="K413" s="3"/>
      <c r="L413" s="3"/>
      <c r="M413" s="3"/>
      <c r="N413" s="3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8">
        <f t="shared" si="3"/>
        <v>0</v>
      </c>
      <c r="J414" s="3"/>
      <c r="K414" s="3"/>
      <c r="L414" s="3"/>
      <c r="M414" s="3"/>
      <c r="N414" s="3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8">
        <f t="shared" si="3"/>
        <v>0</v>
      </c>
      <c r="J415" s="3"/>
      <c r="K415" s="3"/>
      <c r="L415" s="3"/>
      <c r="M415" s="3"/>
      <c r="N415" s="3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8">
        <f t="shared" si="3"/>
        <v>0</v>
      </c>
      <c r="J416" s="3"/>
      <c r="K416" s="3"/>
      <c r="L416" s="3"/>
      <c r="M416" s="3"/>
      <c r="N416" s="3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8">
        <f t="shared" si="3"/>
        <v>0</v>
      </c>
      <c r="J417" s="3"/>
      <c r="K417" s="3"/>
      <c r="L417" s="3"/>
      <c r="M417" s="3"/>
      <c r="N417" s="3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8">
        <f t="shared" si="3"/>
        <v>0</v>
      </c>
      <c r="J418" s="3"/>
      <c r="K418" s="3"/>
      <c r="L418" s="3"/>
      <c r="M418" s="3"/>
      <c r="N418" s="3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8">
        <f t="shared" si="3"/>
        <v>0</v>
      </c>
      <c r="J419" s="3"/>
      <c r="K419" s="3"/>
      <c r="L419" s="3"/>
      <c r="M419" s="3"/>
      <c r="N419" s="3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8">
        <f t="shared" si="3"/>
        <v>0</v>
      </c>
      <c r="J420" s="3"/>
      <c r="K420" s="3"/>
      <c r="L420" s="3"/>
      <c r="M420" s="3"/>
      <c r="N420" s="3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8">
        <f t="shared" si="3"/>
        <v>0</v>
      </c>
      <c r="J421" s="3"/>
      <c r="K421" s="3"/>
      <c r="L421" s="3"/>
      <c r="M421" s="3"/>
      <c r="N421" s="3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8">
        <f t="shared" si="3"/>
        <v>0</v>
      </c>
      <c r="J422" s="3"/>
      <c r="K422" s="3"/>
      <c r="L422" s="3"/>
      <c r="M422" s="3"/>
      <c r="N422" s="3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8">
        <f t="shared" si="3"/>
        <v>0</v>
      </c>
      <c r="J423" s="3"/>
      <c r="K423" s="3"/>
      <c r="L423" s="3"/>
      <c r="M423" s="3"/>
      <c r="N423" s="3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8">
        <f t="shared" si="3"/>
        <v>0</v>
      </c>
      <c r="J424" s="3"/>
      <c r="K424" s="3"/>
      <c r="L424" s="3"/>
      <c r="M424" s="3"/>
      <c r="N424" s="3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8">
        <f t="shared" si="3"/>
        <v>0</v>
      </c>
      <c r="J425" s="3"/>
      <c r="K425" s="3"/>
      <c r="L425" s="3"/>
      <c r="M425" s="3"/>
      <c r="N425" s="3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8">
        <f t="shared" si="3"/>
        <v>0</v>
      </c>
      <c r="J426" s="3"/>
      <c r="K426" s="3"/>
      <c r="L426" s="3"/>
      <c r="M426" s="3"/>
      <c r="N426" s="3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8">
        <f t="shared" si="3"/>
        <v>0</v>
      </c>
      <c r="J427" s="3"/>
      <c r="K427" s="3"/>
      <c r="L427" s="3"/>
      <c r="M427" s="3"/>
      <c r="N427" s="3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8">
        <f t="shared" si="3"/>
        <v>0</v>
      </c>
      <c r="J428" s="3"/>
      <c r="K428" s="3"/>
      <c r="L428" s="3"/>
      <c r="M428" s="3"/>
      <c r="N428" s="3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8">
        <f t="shared" si="3"/>
        <v>0</v>
      </c>
      <c r="J429" s="3"/>
      <c r="K429" s="3"/>
      <c r="L429" s="3"/>
      <c r="M429" s="3"/>
      <c r="N429" s="3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8">
        <f t="shared" si="3"/>
        <v>0</v>
      </c>
      <c r="J430" s="3"/>
      <c r="K430" s="3"/>
      <c r="L430" s="3"/>
      <c r="M430" s="3"/>
      <c r="N430" s="3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8">
        <f t="shared" si="3"/>
        <v>0</v>
      </c>
      <c r="J431" s="3"/>
      <c r="K431" s="3"/>
      <c r="L431" s="3"/>
      <c r="M431" s="3"/>
      <c r="N431" s="3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8">
        <f t="shared" si="3"/>
        <v>0</v>
      </c>
      <c r="J432" s="3"/>
      <c r="K432" s="3"/>
      <c r="L432" s="3"/>
      <c r="M432" s="3"/>
      <c r="N432" s="3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8">
        <f t="shared" si="3"/>
        <v>0</v>
      </c>
      <c r="J433" s="3"/>
      <c r="K433" s="3"/>
      <c r="L433" s="3"/>
      <c r="M433" s="3"/>
      <c r="N433" s="3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8">
        <f t="shared" si="3"/>
        <v>0</v>
      </c>
      <c r="J434" s="3"/>
      <c r="K434" s="3"/>
      <c r="L434" s="3"/>
      <c r="M434" s="3"/>
      <c r="N434" s="3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8">
        <f t="shared" si="3"/>
        <v>0</v>
      </c>
      <c r="J435" s="3"/>
      <c r="K435" s="3"/>
      <c r="L435" s="3"/>
      <c r="M435" s="3"/>
      <c r="N435" s="3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8">
        <f t="shared" si="3"/>
        <v>0</v>
      </c>
      <c r="J436" s="3"/>
      <c r="K436" s="3"/>
      <c r="L436" s="3"/>
      <c r="M436" s="3"/>
      <c r="N436" s="3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8">
        <f t="shared" si="3"/>
        <v>0</v>
      </c>
      <c r="J437" s="3"/>
      <c r="K437" s="3"/>
      <c r="L437" s="3"/>
      <c r="M437" s="3"/>
      <c r="N437" s="3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8">
        <f t="shared" si="3"/>
        <v>0</v>
      </c>
      <c r="J438" s="3"/>
      <c r="K438" s="3"/>
      <c r="L438" s="3"/>
      <c r="M438" s="3"/>
      <c r="N438" s="3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8">
        <f t="shared" si="3"/>
        <v>0</v>
      </c>
      <c r="J439" s="3"/>
      <c r="K439" s="3"/>
      <c r="L439" s="3"/>
      <c r="M439" s="3"/>
      <c r="N439" s="3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8">
        <f t="shared" si="3"/>
        <v>0</v>
      </c>
      <c r="J440" s="3"/>
      <c r="K440" s="3"/>
      <c r="L440" s="3"/>
      <c r="M440" s="3"/>
      <c r="N440" s="3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8">
        <f t="shared" si="3"/>
        <v>0</v>
      </c>
      <c r="J441" s="3"/>
      <c r="K441" s="3"/>
      <c r="L441" s="3"/>
      <c r="M441" s="3"/>
      <c r="N441" s="3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8">
        <f t="shared" si="3"/>
        <v>0</v>
      </c>
      <c r="J442" s="3"/>
      <c r="K442" s="3"/>
      <c r="L442" s="3"/>
      <c r="M442" s="3"/>
      <c r="N442" s="3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8">
        <f t="shared" si="3"/>
        <v>0</v>
      </c>
      <c r="J443" s="3"/>
      <c r="K443" s="3"/>
      <c r="L443" s="3"/>
      <c r="M443" s="3"/>
      <c r="N443" s="3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8">
        <f t="shared" si="3"/>
        <v>0</v>
      </c>
      <c r="J444" s="3"/>
      <c r="K444" s="3"/>
      <c r="L444" s="3"/>
      <c r="M444" s="3"/>
      <c r="N444" s="3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8">
        <f t="shared" si="3"/>
        <v>0</v>
      </c>
      <c r="J445" s="3"/>
      <c r="K445" s="3"/>
      <c r="L445" s="3"/>
      <c r="M445" s="3"/>
      <c r="N445" s="3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8">
        <f t="shared" si="3"/>
        <v>0</v>
      </c>
      <c r="J446" s="3"/>
      <c r="K446" s="3"/>
      <c r="L446" s="3"/>
      <c r="M446" s="3"/>
      <c r="N446" s="3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8">
        <f t="shared" si="3"/>
        <v>0</v>
      </c>
      <c r="J447" s="3"/>
      <c r="K447" s="3"/>
      <c r="L447" s="3"/>
      <c r="M447" s="3"/>
      <c r="N447" s="3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8">
        <f t="shared" si="3"/>
        <v>0</v>
      </c>
      <c r="J448" s="3"/>
      <c r="K448" s="3"/>
      <c r="L448" s="3"/>
      <c r="M448" s="3"/>
      <c r="N448" s="3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8">
        <f t="shared" si="3"/>
        <v>0</v>
      </c>
      <c r="J449" s="3"/>
      <c r="K449" s="3"/>
      <c r="L449" s="3"/>
      <c r="M449" s="3"/>
      <c r="N449" s="3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8">
        <f t="shared" si="3"/>
        <v>0</v>
      </c>
      <c r="J450" s="3"/>
      <c r="K450" s="3"/>
      <c r="L450" s="3"/>
      <c r="M450" s="3"/>
      <c r="N450" s="3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8">
        <f t="shared" si="3"/>
        <v>0</v>
      </c>
      <c r="J451" s="3"/>
      <c r="K451" s="3"/>
      <c r="L451" s="3"/>
      <c r="M451" s="3"/>
      <c r="N451" s="3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8">
        <f t="shared" si="3"/>
        <v>0</v>
      </c>
      <c r="J452" s="3"/>
      <c r="K452" s="3"/>
      <c r="L452" s="3"/>
      <c r="M452" s="3"/>
      <c r="N452" s="3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8">
        <f t="shared" si="3"/>
        <v>0</v>
      </c>
      <c r="J453" s="3"/>
      <c r="K453" s="3"/>
      <c r="L453" s="3"/>
      <c r="M453" s="3"/>
      <c r="N453" s="3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8">
        <f t="shared" si="3"/>
        <v>0</v>
      </c>
      <c r="J454" s="3"/>
      <c r="K454" s="3"/>
      <c r="L454" s="3"/>
      <c r="M454" s="3"/>
      <c r="N454" s="3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8">
        <f t="shared" si="3"/>
        <v>0</v>
      </c>
      <c r="J455" s="3"/>
      <c r="K455" s="3"/>
      <c r="L455" s="3"/>
      <c r="M455" s="3"/>
      <c r="N455" s="3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8">
        <f t="shared" si="3"/>
        <v>0</v>
      </c>
      <c r="J456" s="3"/>
      <c r="K456" s="3"/>
      <c r="L456" s="3"/>
      <c r="M456" s="3"/>
      <c r="N456" s="3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8">
        <f t="shared" si="3"/>
        <v>0</v>
      </c>
      <c r="J457" s="3"/>
      <c r="K457" s="3"/>
      <c r="L457" s="3"/>
      <c r="M457" s="3"/>
      <c r="N457" s="3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8">
        <f t="shared" si="3"/>
        <v>0</v>
      </c>
      <c r="J458" s="3"/>
      <c r="K458" s="3"/>
      <c r="L458" s="3"/>
      <c r="M458" s="3"/>
      <c r="N458" s="3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8">
        <f t="shared" si="3"/>
        <v>0</v>
      </c>
      <c r="J459" s="3"/>
      <c r="K459" s="3"/>
      <c r="L459" s="3"/>
      <c r="M459" s="3"/>
      <c r="N459" s="3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8">
        <f t="shared" si="3"/>
        <v>0</v>
      </c>
      <c r="J460" s="3"/>
      <c r="K460" s="3"/>
      <c r="L460" s="3"/>
      <c r="M460" s="3"/>
      <c r="N460" s="3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8">
        <f t="shared" si="3"/>
        <v>0</v>
      </c>
      <c r="J461" s="3"/>
      <c r="K461" s="3"/>
      <c r="L461" s="3"/>
      <c r="M461" s="3"/>
      <c r="N461" s="3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8">
        <f t="shared" si="3"/>
        <v>0</v>
      </c>
      <c r="J462" s="3"/>
      <c r="K462" s="3"/>
      <c r="L462" s="3"/>
      <c r="M462" s="3"/>
      <c r="N462" s="3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8">
        <f t="shared" si="3"/>
        <v>0</v>
      </c>
      <c r="J463" s="3"/>
      <c r="K463" s="3"/>
      <c r="L463" s="3"/>
      <c r="M463" s="3"/>
      <c r="N463" s="3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8">
        <f t="shared" si="3"/>
        <v>0</v>
      </c>
      <c r="J464" s="3"/>
      <c r="K464" s="3"/>
      <c r="L464" s="3"/>
      <c r="M464" s="3"/>
      <c r="N464" s="3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8">
        <f t="shared" si="3"/>
        <v>0</v>
      </c>
      <c r="J465" s="3"/>
      <c r="K465" s="3"/>
      <c r="L465" s="3"/>
      <c r="M465" s="3"/>
      <c r="N465" s="3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8">
        <f t="shared" si="3"/>
        <v>0</v>
      </c>
      <c r="J466" s="3"/>
      <c r="K466" s="3"/>
      <c r="L466" s="3"/>
      <c r="M466" s="3"/>
      <c r="N466" s="3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8">
        <f t="shared" si="3"/>
        <v>0</v>
      </c>
      <c r="J467" s="3"/>
      <c r="K467" s="3"/>
      <c r="L467" s="3"/>
      <c r="M467" s="3"/>
      <c r="N467" s="3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8">
        <f t="shared" si="3"/>
        <v>0</v>
      </c>
      <c r="J468" s="3"/>
      <c r="K468" s="3"/>
      <c r="L468" s="3"/>
      <c r="M468" s="3"/>
      <c r="N468" s="3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8">
        <f t="shared" si="3"/>
        <v>0</v>
      </c>
      <c r="J469" s="3"/>
      <c r="K469" s="3"/>
      <c r="L469" s="3"/>
      <c r="M469" s="3"/>
      <c r="N469" s="3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8">
        <f t="shared" si="3"/>
        <v>0</v>
      </c>
      <c r="J470" s="3"/>
      <c r="K470" s="3"/>
      <c r="L470" s="3"/>
      <c r="M470" s="3"/>
      <c r="N470" s="3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8">
        <f t="shared" si="3"/>
        <v>0</v>
      </c>
      <c r="J471" s="3"/>
      <c r="K471" s="3"/>
      <c r="L471" s="3"/>
      <c r="M471" s="3"/>
      <c r="N471" s="3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8">
        <f t="shared" si="3"/>
        <v>0</v>
      </c>
      <c r="J472" s="3"/>
      <c r="K472" s="3"/>
      <c r="L472" s="3"/>
      <c r="M472" s="3"/>
      <c r="N472" s="3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8">
        <f t="shared" si="3"/>
        <v>0</v>
      </c>
      <c r="J473" s="3"/>
      <c r="K473" s="3"/>
      <c r="L473" s="3"/>
      <c r="M473" s="3"/>
      <c r="N473" s="3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8">
        <f t="shared" si="3"/>
        <v>0</v>
      </c>
      <c r="J474" s="3"/>
      <c r="K474" s="3"/>
      <c r="L474" s="3"/>
      <c r="M474" s="3"/>
      <c r="N474" s="3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8">
        <f t="shared" si="3"/>
        <v>0</v>
      </c>
      <c r="J475" s="3"/>
      <c r="K475" s="3"/>
      <c r="L475" s="3"/>
      <c r="M475" s="3"/>
      <c r="N475" s="3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8">
        <f t="shared" si="3"/>
        <v>0</v>
      </c>
      <c r="J476" s="3"/>
      <c r="K476" s="3"/>
      <c r="L476" s="3"/>
      <c r="M476" s="3"/>
      <c r="N476" s="3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8">
        <f t="shared" si="3"/>
        <v>0</v>
      </c>
      <c r="J477" s="3"/>
      <c r="K477" s="3"/>
      <c r="L477" s="3"/>
      <c r="M477" s="3"/>
      <c r="N477" s="3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.5"/>
    <col customWidth="1" min="3" max="3" width="6.5"/>
    <col customWidth="1" min="4" max="4" width="6.75"/>
    <col customWidth="1" min="5" max="5" width="10.25"/>
    <col customWidth="1" min="6" max="6" width="7.13"/>
    <col customWidth="1" min="7" max="7" width="9.5"/>
    <col customWidth="1" min="8" max="8" width="10.25"/>
  </cols>
  <sheetData>
    <row r="1">
      <c r="A1" s="1" t="s">
        <v>0</v>
      </c>
      <c r="B1" s="2" t="s">
        <v>1</v>
      </c>
      <c r="C1" s="1" t="s">
        <v>155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9" t="s">
        <v>9</v>
      </c>
      <c r="K1" s="16" t="s">
        <v>156</v>
      </c>
      <c r="L1" s="16" t="s">
        <v>157</v>
      </c>
    </row>
    <row r="2" hidden="1">
      <c r="A2" s="16"/>
      <c r="B2" s="16" t="s">
        <v>10</v>
      </c>
      <c r="C2" s="16">
        <v>10000.0</v>
      </c>
      <c r="D2" s="16">
        <v>954.96</v>
      </c>
      <c r="E2" s="14">
        <f t="shared" ref="E2:E8" si="1">D2+8</f>
        <v>962.96</v>
      </c>
      <c r="F2" s="16">
        <v>976.8</v>
      </c>
      <c r="J2" s="20"/>
      <c r="L2" s="21"/>
    </row>
    <row r="3" hidden="1">
      <c r="A3" s="16"/>
      <c r="B3" s="16" t="s">
        <v>158</v>
      </c>
      <c r="C3" s="16">
        <v>10000.0</v>
      </c>
      <c r="D3" s="16">
        <v>953.84</v>
      </c>
      <c r="E3" s="14">
        <f t="shared" si="1"/>
        <v>961.84</v>
      </c>
      <c r="F3" s="16">
        <v>976.8</v>
      </c>
      <c r="J3" s="20"/>
      <c r="L3" s="21"/>
    </row>
    <row r="4" hidden="1">
      <c r="A4" s="16"/>
      <c r="B4" s="16" t="s">
        <v>158</v>
      </c>
      <c r="C4" s="16">
        <v>10000.0</v>
      </c>
      <c r="D4" s="16">
        <v>946.33</v>
      </c>
      <c r="E4" s="14">
        <f t="shared" si="1"/>
        <v>954.33</v>
      </c>
      <c r="F4" s="16">
        <v>956.09</v>
      </c>
      <c r="J4" s="20"/>
      <c r="L4" s="21"/>
    </row>
    <row r="5" hidden="1">
      <c r="A5" s="16"/>
      <c r="B5" s="16" t="s">
        <v>14</v>
      </c>
      <c r="C5" s="16">
        <v>10000.0</v>
      </c>
      <c r="D5" s="16">
        <v>946.3</v>
      </c>
      <c r="E5" s="14">
        <f t="shared" si="1"/>
        <v>954.3</v>
      </c>
      <c r="F5" s="16">
        <v>956.09</v>
      </c>
      <c r="J5" s="20"/>
      <c r="L5" s="21"/>
    </row>
    <row r="6" hidden="1">
      <c r="A6" s="16"/>
      <c r="B6" s="16" t="s">
        <v>15</v>
      </c>
      <c r="C6" s="16">
        <v>10000.0</v>
      </c>
      <c r="D6" s="16">
        <v>945.71</v>
      </c>
      <c r="E6" s="14">
        <f t="shared" si="1"/>
        <v>953.71</v>
      </c>
      <c r="F6" s="16">
        <v>956.09</v>
      </c>
      <c r="J6" s="20"/>
      <c r="L6" s="21"/>
    </row>
    <row r="7" hidden="1">
      <c r="A7" s="16"/>
      <c r="B7" s="16" t="s">
        <v>16</v>
      </c>
      <c r="C7" s="16">
        <v>10000.0</v>
      </c>
      <c r="D7" s="16">
        <v>947.6</v>
      </c>
      <c r="E7" s="14">
        <f t="shared" si="1"/>
        <v>955.6</v>
      </c>
      <c r="F7" s="16">
        <v>956.09</v>
      </c>
      <c r="J7" s="20"/>
      <c r="L7" s="21"/>
    </row>
    <row r="8" hidden="1">
      <c r="A8" s="16"/>
      <c r="B8" s="16" t="s">
        <v>17</v>
      </c>
      <c r="C8" s="16">
        <v>10000.0</v>
      </c>
      <c r="D8" s="16">
        <v>951.17</v>
      </c>
      <c r="E8" s="14">
        <f t="shared" si="1"/>
        <v>959.17</v>
      </c>
      <c r="F8" s="16">
        <v>961.21</v>
      </c>
      <c r="J8" s="20"/>
      <c r="L8" s="21"/>
    </row>
    <row r="9">
      <c r="A9" s="16" t="s">
        <v>143</v>
      </c>
      <c r="B9" s="22">
        <v>45942.0</v>
      </c>
      <c r="C9" s="16">
        <v>50000.0</v>
      </c>
      <c r="D9" s="16">
        <v>943.67</v>
      </c>
      <c r="E9" s="14">
        <f t="shared" ref="E9:E48" si="2">D9+6</f>
        <v>949.67</v>
      </c>
      <c r="F9" s="14">
        <f t="shared" ref="F9:F97" si="3">(E9-D9)*C9/100</f>
        <v>3000</v>
      </c>
      <c r="G9" s="22">
        <v>45947.0</v>
      </c>
      <c r="H9" s="16">
        <v>949.71</v>
      </c>
      <c r="I9" s="14">
        <f t="shared" ref="I9:I97" si="4">if((H9-D9)*C9/100&gt;0,(H9-D9)*C9/100,0)</f>
        <v>3020</v>
      </c>
      <c r="J9" s="20">
        <f t="shared" ref="J9:J97" si="5">C9*D9/100</f>
        <v>471835</v>
      </c>
      <c r="K9" s="14">
        <f t="shared" ref="K9:K97" si="6">if(datedif(B9,G9,"D")=0,1,datedif(B9,G9,"D"))</f>
        <v>5</v>
      </c>
      <c r="L9" s="21">
        <f t="shared" ref="L9:L97" si="7">I9/J9/K9*365</f>
        <v>0.4672396071</v>
      </c>
    </row>
    <row r="10">
      <c r="A10" s="16" t="s">
        <v>144</v>
      </c>
      <c r="B10" s="22">
        <v>45943.0</v>
      </c>
      <c r="C10" s="16">
        <v>50000.0</v>
      </c>
      <c r="D10" s="16">
        <v>942.16</v>
      </c>
      <c r="E10" s="14">
        <f t="shared" si="2"/>
        <v>948.16</v>
      </c>
      <c r="F10" s="14">
        <f t="shared" si="3"/>
        <v>3000</v>
      </c>
      <c r="G10" s="22">
        <v>45947.0</v>
      </c>
      <c r="H10" s="16">
        <v>949.71</v>
      </c>
      <c r="I10" s="14">
        <f t="shared" si="4"/>
        <v>3775</v>
      </c>
      <c r="J10" s="20">
        <f t="shared" si="5"/>
        <v>471080</v>
      </c>
      <c r="K10" s="14">
        <f t="shared" si="6"/>
        <v>4</v>
      </c>
      <c r="L10" s="21">
        <f t="shared" si="7"/>
        <v>0.7312319564</v>
      </c>
    </row>
    <row r="11">
      <c r="A11" s="1" t="s">
        <v>145</v>
      </c>
      <c r="B11" s="11">
        <v>45943.0</v>
      </c>
      <c r="C11" s="1">
        <v>50000.0</v>
      </c>
      <c r="D11" s="1">
        <v>939.21</v>
      </c>
      <c r="E11" s="14">
        <f t="shared" si="2"/>
        <v>945.21</v>
      </c>
      <c r="F11" s="14">
        <f t="shared" si="3"/>
        <v>3000</v>
      </c>
      <c r="G11" s="11">
        <v>45947.0</v>
      </c>
      <c r="H11" s="1">
        <v>945.47</v>
      </c>
      <c r="I11" s="14">
        <f t="shared" si="4"/>
        <v>3130</v>
      </c>
      <c r="J11" s="20">
        <f t="shared" si="5"/>
        <v>469605</v>
      </c>
      <c r="K11" s="14">
        <f t="shared" si="6"/>
        <v>4</v>
      </c>
      <c r="L11" s="21">
        <f t="shared" si="7"/>
        <v>0.6081973148</v>
      </c>
    </row>
    <row r="12">
      <c r="A12" s="16" t="s">
        <v>146</v>
      </c>
      <c r="B12" s="22">
        <v>45943.0</v>
      </c>
      <c r="C12" s="16">
        <v>50000.0</v>
      </c>
      <c r="D12" s="16">
        <v>940.18</v>
      </c>
      <c r="E12" s="14">
        <f t="shared" si="2"/>
        <v>946.18</v>
      </c>
      <c r="F12" s="14">
        <f t="shared" si="3"/>
        <v>3000</v>
      </c>
      <c r="G12" s="22">
        <v>45947.0</v>
      </c>
      <c r="H12" s="16">
        <v>945.47</v>
      </c>
      <c r="I12" s="14">
        <f t="shared" si="4"/>
        <v>2645</v>
      </c>
      <c r="J12" s="20">
        <f t="shared" si="5"/>
        <v>470090</v>
      </c>
      <c r="K12" s="14">
        <f t="shared" si="6"/>
        <v>4</v>
      </c>
      <c r="L12" s="21">
        <f t="shared" si="7"/>
        <v>0.5134256206</v>
      </c>
    </row>
    <row r="13">
      <c r="A13" s="16" t="s">
        <v>147</v>
      </c>
      <c r="B13" s="22">
        <v>45943.0</v>
      </c>
      <c r="C13" s="16">
        <v>50000.0</v>
      </c>
      <c r="D13" s="16">
        <v>938.63</v>
      </c>
      <c r="E13" s="14">
        <f t="shared" si="2"/>
        <v>944.63</v>
      </c>
      <c r="F13" s="14">
        <f t="shared" si="3"/>
        <v>3000</v>
      </c>
      <c r="G13" s="22">
        <v>45947.0</v>
      </c>
      <c r="H13" s="16">
        <v>944.07</v>
      </c>
      <c r="I13" s="14">
        <f t="shared" si="4"/>
        <v>2720</v>
      </c>
      <c r="J13" s="20">
        <f t="shared" si="5"/>
        <v>469315</v>
      </c>
      <c r="K13" s="14">
        <f t="shared" si="6"/>
        <v>4</v>
      </c>
      <c r="L13" s="21">
        <f t="shared" si="7"/>
        <v>0.5288558857</v>
      </c>
    </row>
    <row r="14">
      <c r="A14" s="16" t="s">
        <v>148</v>
      </c>
      <c r="B14" s="22">
        <v>45944.0</v>
      </c>
      <c r="C14" s="16">
        <v>50000.0</v>
      </c>
      <c r="D14" s="16">
        <v>937.83</v>
      </c>
      <c r="E14" s="14">
        <f t="shared" si="2"/>
        <v>943.83</v>
      </c>
      <c r="F14" s="14">
        <f t="shared" si="3"/>
        <v>3000</v>
      </c>
      <c r="G14" s="22">
        <v>45947.0</v>
      </c>
      <c r="H14" s="16">
        <v>944.07</v>
      </c>
      <c r="I14" s="14">
        <f t="shared" si="4"/>
        <v>3120</v>
      </c>
      <c r="J14" s="20">
        <f t="shared" si="5"/>
        <v>468915</v>
      </c>
      <c r="K14" s="14">
        <f t="shared" si="6"/>
        <v>3</v>
      </c>
      <c r="L14" s="21">
        <f t="shared" si="7"/>
        <v>0.8095283793</v>
      </c>
    </row>
    <row r="15">
      <c r="A15" s="16" t="s">
        <v>149</v>
      </c>
      <c r="B15" s="22">
        <v>45944.0</v>
      </c>
      <c r="C15" s="16">
        <v>50000.0</v>
      </c>
      <c r="D15" s="16">
        <v>936.65</v>
      </c>
      <c r="E15" s="14">
        <f t="shared" si="2"/>
        <v>942.65</v>
      </c>
      <c r="F15" s="14">
        <f t="shared" si="3"/>
        <v>3000</v>
      </c>
      <c r="G15" s="22">
        <v>45944.0</v>
      </c>
      <c r="H15" s="16">
        <v>942.72</v>
      </c>
      <c r="I15" s="14">
        <f t="shared" si="4"/>
        <v>3035</v>
      </c>
      <c r="J15" s="20">
        <f t="shared" si="5"/>
        <v>468325</v>
      </c>
      <c r="K15" s="14">
        <f t="shared" si="6"/>
        <v>1</v>
      </c>
      <c r="L15" s="21">
        <f t="shared" si="7"/>
        <v>2.365397961</v>
      </c>
    </row>
    <row r="16">
      <c r="A16" s="16" t="s">
        <v>149</v>
      </c>
      <c r="B16" s="22">
        <v>45944.0</v>
      </c>
      <c r="C16" s="16">
        <v>50000.0</v>
      </c>
      <c r="D16" s="16">
        <v>941.92</v>
      </c>
      <c r="E16" s="14">
        <f t="shared" si="2"/>
        <v>947.92</v>
      </c>
      <c r="F16" s="14">
        <f t="shared" si="3"/>
        <v>3000</v>
      </c>
      <c r="G16" s="22">
        <v>45947.0</v>
      </c>
      <c r="H16" s="16">
        <v>947.61</v>
      </c>
      <c r="I16" s="14">
        <f t="shared" si="4"/>
        <v>2845</v>
      </c>
      <c r="J16" s="20">
        <f t="shared" si="5"/>
        <v>470960</v>
      </c>
      <c r="K16" s="14">
        <f t="shared" si="6"/>
        <v>3</v>
      </c>
      <c r="L16" s="21">
        <f t="shared" si="7"/>
        <v>0.734970415</v>
      </c>
    </row>
    <row r="17">
      <c r="A17" s="16" t="s">
        <v>150</v>
      </c>
      <c r="B17" s="22">
        <v>45944.0</v>
      </c>
      <c r="C17" s="16">
        <v>50000.0</v>
      </c>
      <c r="D17" s="16">
        <v>940.32</v>
      </c>
      <c r="E17" s="14">
        <f t="shared" si="2"/>
        <v>946.32</v>
      </c>
      <c r="F17" s="14">
        <f t="shared" si="3"/>
        <v>3000</v>
      </c>
      <c r="G17" s="22">
        <v>45947.0</v>
      </c>
      <c r="H17" s="16">
        <v>947.61</v>
      </c>
      <c r="I17" s="14">
        <f t="shared" si="4"/>
        <v>3645</v>
      </c>
      <c r="J17" s="20">
        <f t="shared" si="5"/>
        <v>470160</v>
      </c>
      <c r="K17" s="14">
        <f t="shared" si="6"/>
        <v>3</v>
      </c>
      <c r="L17" s="21">
        <f t="shared" si="7"/>
        <v>0.9432427259</v>
      </c>
    </row>
    <row r="18">
      <c r="A18" s="16" t="s">
        <v>151</v>
      </c>
      <c r="B18" s="22">
        <v>45946.0</v>
      </c>
      <c r="C18" s="16">
        <v>50000.0</v>
      </c>
      <c r="D18" s="16">
        <v>938.48</v>
      </c>
      <c r="E18" s="14">
        <f t="shared" si="2"/>
        <v>944.48</v>
      </c>
      <c r="F18" s="14">
        <f t="shared" si="3"/>
        <v>3000</v>
      </c>
      <c r="G18" s="22">
        <v>45947.0</v>
      </c>
      <c r="H18" s="16">
        <v>944.07</v>
      </c>
      <c r="I18" s="14">
        <f t="shared" si="4"/>
        <v>2795</v>
      </c>
      <c r="J18" s="20">
        <f t="shared" si="5"/>
        <v>469240</v>
      </c>
      <c r="K18" s="14">
        <f t="shared" si="6"/>
        <v>1</v>
      </c>
      <c r="L18" s="21">
        <f t="shared" si="7"/>
        <v>2.174100673</v>
      </c>
    </row>
    <row r="19">
      <c r="A19" s="16" t="s">
        <v>143</v>
      </c>
      <c r="B19" s="22">
        <v>45948.0</v>
      </c>
      <c r="C19" s="16">
        <v>50000.0</v>
      </c>
      <c r="D19" s="16">
        <v>943.81</v>
      </c>
      <c r="E19" s="14">
        <f t="shared" si="2"/>
        <v>949.81</v>
      </c>
      <c r="F19" s="14">
        <f t="shared" si="3"/>
        <v>3000</v>
      </c>
      <c r="G19" s="22">
        <v>45968.0</v>
      </c>
      <c r="H19" s="16">
        <v>951.54</v>
      </c>
      <c r="I19" s="14">
        <f t="shared" si="4"/>
        <v>3865</v>
      </c>
      <c r="J19" s="20">
        <f t="shared" si="5"/>
        <v>471905</v>
      </c>
      <c r="K19" s="14">
        <f t="shared" si="6"/>
        <v>20</v>
      </c>
      <c r="L19" s="21">
        <f t="shared" si="7"/>
        <v>0.1494712919</v>
      </c>
    </row>
    <row r="20">
      <c r="A20" s="16" t="s">
        <v>144</v>
      </c>
      <c r="B20" s="22">
        <v>45949.0</v>
      </c>
      <c r="C20" s="16">
        <v>50000.0</v>
      </c>
      <c r="D20" s="16">
        <v>944.54</v>
      </c>
      <c r="E20" s="14">
        <f t="shared" si="2"/>
        <v>950.54</v>
      </c>
      <c r="F20" s="14">
        <f t="shared" si="3"/>
        <v>3000</v>
      </c>
      <c r="G20" s="22">
        <v>45968.0</v>
      </c>
      <c r="H20" s="16">
        <v>951.54</v>
      </c>
      <c r="I20" s="14">
        <f t="shared" si="4"/>
        <v>3500</v>
      </c>
      <c r="J20" s="20">
        <f t="shared" si="5"/>
        <v>472270</v>
      </c>
      <c r="K20" s="14">
        <f t="shared" si="6"/>
        <v>19</v>
      </c>
      <c r="L20" s="21">
        <f t="shared" si="7"/>
        <v>0.1423694965</v>
      </c>
    </row>
    <row r="21">
      <c r="A21" s="16" t="s">
        <v>145</v>
      </c>
      <c r="B21" s="22">
        <v>45950.0</v>
      </c>
      <c r="C21" s="16">
        <v>50000.0</v>
      </c>
      <c r="D21" s="16">
        <v>942.27</v>
      </c>
      <c r="E21" s="14">
        <f t="shared" si="2"/>
        <v>948.27</v>
      </c>
      <c r="F21" s="14">
        <f t="shared" si="3"/>
        <v>3000</v>
      </c>
      <c r="G21" s="22">
        <v>45968.0</v>
      </c>
      <c r="H21" s="16">
        <v>951.54</v>
      </c>
      <c r="I21" s="14">
        <f t="shared" si="4"/>
        <v>4635</v>
      </c>
      <c r="J21" s="20">
        <f t="shared" si="5"/>
        <v>471135</v>
      </c>
      <c r="K21" s="14">
        <f t="shared" si="6"/>
        <v>18</v>
      </c>
      <c r="L21" s="21">
        <f t="shared" si="7"/>
        <v>0.1994916531</v>
      </c>
    </row>
    <row r="22">
      <c r="A22" s="16" t="s">
        <v>146</v>
      </c>
      <c r="B22" s="22">
        <v>45951.0</v>
      </c>
      <c r="C22" s="16">
        <v>50000.0</v>
      </c>
      <c r="D22" s="16">
        <v>943.11</v>
      </c>
      <c r="E22" s="14">
        <f t="shared" si="2"/>
        <v>949.11</v>
      </c>
      <c r="F22" s="14">
        <f t="shared" si="3"/>
        <v>3000</v>
      </c>
      <c r="G22" s="22">
        <v>45968.0</v>
      </c>
      <c r="H22" s="16">
        <v>951.54</v>
      </c>
      <c r="I22" s="14">
        <f t="shared" si="4"/>
        <v>4215</v>
      </c>
      <c r="J22" s="20">
        <f t="shared" si="5"/>
        <v>471555</v>
      </c>
      <c r="K22" s="14">
        <f t="shared" si="6"/>
        <v>17</v>
      </c>
      <c r="L22" s="21">
        <f t="shared" si="7"/>
        <v>0.1919151094</v>
      </c>
    </row>
    <row r="23">
      <c r="A23" s="16" t="s">
        <v>147</v>
      </c>
      <c r="B23" s="22">
        <v>45952.0</v>
      </c>
      <c r="C23" s="16">
        <v>50000.0</v>
      </c>
      <c r="D23" s="16">
        <v>941.86</v>
      </c>
      <c r="E23" s="14">
        <f t="shared" si="2"/>
        <v>947.86</v>
      </c>
      <c r="F23" s="14">
        <f t="shared" si="3"/>
        <v>3000</v>
      </c>
      <c r="G23" s="22">
        <v>45968.0</v>
      </c>
      <c r="H23" s="16">
        <v>951.54</v>
      </c>
      <c r="I23" s="14">
        <f t="shared" si="4"/>
        <v>4840</v>
      </c>
      <c r="J23" s="20">
        <f t="shared" si="5"/>
        <v>470930</v>
      </c>
      <c r="K23" s="14">
        <f t="shared" si="6"/>
        <v>16</v>
      </c>
      <c r="L23" s="21">
        <f t="shared" si="7"/>
        <v>0.2344562886</v>
      </c>
    </row>
    <row r="24">
      <c r="A24" s="16" t="s">
        <v>148</v>
      </c>
      <c r="B24" s="22">
        <v>45953.0</v>
      </c>
      <c r="C24" s="16">
        <v>50000.0</v>
      </c>
      <c r="D24" s="16">
        <v>941.98</v>
      </c>
      <c r="E24" s="14">
        <f t="shared" si="2"/>
        <v>947.98</v>
      </c>
      <c r="F24" s="14">
        <f t="shared" si="3"/>
        <v>3000</v>
      </c>
      <c r="G24" s="22">
        <v>45968.0</v>
      </c>
      <c r="H24" s="16">
        <v>951.54</v>
      </c>
      <c r="I24" s="14">
        <f t="shared" si="4"/>
        <v>4780</v>
      </c>
      <c r="J24" s="20">
        <f t="shared" si="5"/>
        <v>470990</v>
      </c>
      <c r="K24" s="14">
        <f t="shared" si="6"/>
        <v>15</v>
      </c>
      <c r="L24" s="21">
        <f t="shared" si="7"/>
        <v>0.2469549955</v>
      </c>
    </row>
    <row r="25">
      <c r="A25" s="16" t="s">
        <v>149</v>
      </c>
      <c r="B25" s="22">
        <v>45954.0</v>
      </c>
      <c r="C25" s="16">
        <v>50000.0</v>
      </c>
      <c r="D25" s="16">
        <v>939.63</v>
      </c>
      <c r="E25" s="14">
        <f t="shared" si="2"/>
        <v>945.63</v>
      </c>
      <c r="F25" s="14">
        <f t="shared" si="3"/>
        <v>3000</v>
      </c>
      <c r="G25" s="22">
        <v>45968.0</v>
      </c>
      <c r="H25" s="16">
        <v>946.33</v>
      </c>
      <c r="I25" s="14">
        <f t="shared" si="4"/>
        <v>3350</v>
      </c>
      <c r="J25" s="20">
        <f t="shared" si="5"/>
        <v>469815</v>
      </c>
      <c r="K25" s="14">
        <f t="shared" si="6"/>
        <v>14</v>
      </c>
      <c r="L25" s="21">
        <f t="shared" si="7"/>
        <v>0.1859014414</v>
      </c>
    </row>
    <row r="26">
      <c r="A26" s="16" t="s">
        <v>150</v>
      </c>
      <c r="B26" s="22">
        <v>45954.0</v>
      </c>
      <c r="C26" s="16">
        <v>50000.0</v>
      </c>
      <c r="D26" s="16">
        <v>940.99</v>
      </c>
      <c r="E26" s="14">
        <f t="shared" si="2"/>
        <v>946.99</v>
      </c>
      <c r="F26" s="14">
        <f t="shared" si="3"/>
        <v>3000</v>
      </c>
      <c r="G26" s="22">
        <v>45968.0</v>
      </c>
      <c r="H26" s="16">
        <v>951.54</v>
      </c>
      <c r="I26" s="14">
        <f t="shared" si="4"/>
        <v>5275</v>
      </c>
      <c r="J26" s="20">
        <f t="shared" si="5"/>
        <v>470495</v>
      </c>
      <c r="K26" s="14">
        <f t="shared" si="6"/>
        <v>14</v>
      </c>
      <c r="L26" s="21">
        <f t="shared" si="7"/>
        <v>0.292302332</v>
      </c>
    </row>
    <row r="27">
      <c r="A27" s="16" t="s">
        <v>151</v>
      </c>
      <c r="B27" s="22">
        <v>45955.0</v>
      </c>
      <c r="C27" s="16">
        <v>50000.0</v>
      </c>
      <c r="D27" s="16">
        <v>940.58</v>
      </c>
      <c r="E27" s="14">
        <f t="shared" si="2"/>
        <v>946.58</v>
      </c>
      <c r="F27" s="14">
        <f t="shared" si="3"/>
        <v>3000</v>
      </c>
      <c r="G27" s="22">
        <v>45968.0</v>
      </c>
      <c r="H27" s="16">
        <v>946.33</v>
      </c>
      <c r="I27" s="14">
        <f t="shared" si="4"/>
        <v>2875</v>
      </c>
      <c r="J27" s="20">
        <f t="shared" si="5"/>
        <v>470290</v>
      </c>
      <c r="K27" s="14">
        <f t="shared" si="6"/>
        <v>13</v>
      </c>
      <c r="L27" s="21">
        <f t="shared" si="7"/>
        <v>0.1716412296</v>
      </c>
    </row>
    <row r="28">
      <c r="A28" s="16" t="s">
        <v>152</v>
      </c>
      <c r="B28" s="22">
        <v>45957.0</v>
      </c>
      <c r="C28" s="16">
        <v>50000.0</v>
      </c>
      <c r="D28" s="16">
        <v>937.08</v>
      </c>
      <c r="E28" s="14">
        <f t="shared" si="2"/>
        <v>943.08</v>
      </c>
      <c r="F28" s="14">
        <f t="shared" si="3"/>
        <v>3000</v>
      </c>
      <c r="G28" s="22">
        <v>45958.0</v>
      </c>
      <c r="H28" s="16">
        <v>943.63</v>
      </c>
      <c r="I28" s="14">
        <f t="shared" si="4"/>
        <v>3275</v>
      </c>
      <c r="J28" s="20">
        <f t="shared" si="5"/>
        <v>468540</v>
      </c>
      <c r="K28" s="14">
        <f t="shared" si="6"/>
        <v>1</v>
      </c>
      <c r="L28" s="21">
        <f t="shared" si="7"/>
        <v>2.551276305</v>
      </c>
    </row>
    <row r="29">
      <c r="A29" s="16" t="s">
        <v>153</v>
      </c>
      <c r="B29" s="22">
        <v>45957.0</v>
      </c>
      <c r="C29" s="16">
        <v>50000.0</v>
      </c>
      <c r="D29" s="16">
        <v>936.58</v>
      </c>
      <c r="E29" s="14">
        <f t="shared" si="2"/>
        <v>942.58</v>
      </c>
      <c r="F29" s="14">
        <f t="shared" si="3"/>
        <v>3000</v>
      </c>
      <c r="G29" s="22">
        <v>45958.0</v>
      </c>
      <c r="H29" s="16">
        <v>943.63</v>
      </c>
      <c r="I29" s="14">
        <f t="shared" si="4"/>
        <v>3525</v>
      </c>
      <c r="J29" s="20">
        <f t="shared" si="5"/>
        <v>468290</v>
      </c>
      <c r="K29" s="14">
        <f t="shared" si="6"/>
        <v>1</v>
      </c>
      <c r="L29" s="21">
        <f t="shared" si="7"/>
        <v>2.74749621</v>
      </c>
    </row>
    <row r="30">
      <c r="A30" s="16" t="s">
        <v>154</v>
      </c>
      <c r="B30" s="22">
        <v>45958.0</v>
      </c>
      <c r="C30" s="16">
        <v>50000.0</v>
      </c>
      <c r="D30" s="16">
        <v>938.17</v>
      </c>
      <c r="E30" s="14">
        <f t="shared" si="2"/>
        <v>944.17</v>
      </c>
      <c r="F30" s="14">
        <f t="shared" si="3"/>
        <v>3000</v>
      </c>
      <c r="G30" s="22">
        <v>45958.0</v>
      </c>
      <c r="H30" s="16">
        <v>944.21</v>
      </c>
      <c r="I30" s="14">
        <f t="shared" si="4"/>
        <v>3020</v>
      </c>
      <c r="J30" s="20">
        <f t="shared" si="5"/>
        <v>469085</v>
      </c>
      <c r="K30" s="14">
        <f t="shared" si="6"/>
        <v>1</v>
      </c>
      <c r="L30" s="21">
        <f t="shared" si="7"/>
        <v>2.349893942</v>
      </c>
    </row>
    <row r="31">
      <c r="A31" s="16" t="s">
        <v>152</v>
      </c>
      <c r="B31" s="22">
        <v>45959.0</v>
      </c>
      <c r="C31" s="16">
        <v>50000.0</v>
      </c>
      <c r="D31" s="16">
        <v>942.83</v>
      </c>
      <c r="E31" s="14">
        <f t="shared" si="2"/>
        <v>948.83</v>
      </c>
      <c r="F31" s="14">
        <f t="shared" si="3"/>
        <v>3000</v>
      </c>
      <c r="G31" s="22">
        <v>45968.0</v>
      </c>
      <c r="H31" s="16">
        <v>951.54</v>
      </c>
      <c r="I31" s="14">
        <f t="shared" si="4"/>
        <v>4355</v>
      </c>
      <c r="J31" s="20">
        <f t="shared" si="5"/>
        <v>471415</v>
      </c>
      <c r="K31" s="14">
        <f t="shared" si="6"/>
        <v>9</v>
      </c>
      <c r="L31" s="21">
        <f t="shared" si="7"/>
        <v>0.374658092</v>
      </c>
    </row>
    <row r="32">
      <c r="A32" s="16" t="s">
        <v>153</v>
      </c>
      <c r="B32" s="22">
        <v>45959.0</v>
      </c>
      <c r="C32" s="16">
        <v>50000.0</v>
      </c>
      <c r="D32" s="16">
        <v>943.19</v>
      </c>
      <c r="E32" s="14">
        <f t="shared" si="2"/>
        <v>949.19</v>
      </c>
      <c r="F32" s="14">
        <f t="shared" si="3"/>
        <v>3000</v>
      </c>
      <c r="G32" s="22">
        <v>45968.0</v>
      </c>
      <c r="H32" s="16">
        <v>951.54</v>
      </c>
      <c r="I32" s="14">
        <f t="shared" si="4"/>
        <v>4175</v>
      </c>
      <c r="J32" s="20">
        <f t="shared" si="5"/>
        <v>471595</v>
      </c>
      <c r="K32" s="14">
        <f t="shared" si="6"/>
        <v>9</v>
      </c>
      <c r="L32" s="21">
        <f t="shared" si="7"/>
        <v>0.3590357074</v>
      </c>
    </row>
    <row r="33">
      <c r="A33" s="16" t="s">
        <v>154</v>
      </c>
      <c r="B33" s="22">
        <v>45959.0</v>
      </c>
      <c r="C33" s="16">
        <v>50000.0</v>
      </c>
      <c r="D33" s="16">
        <v>941.38</v>
      </c>
      <c r="E33" s="14">
        <f t="shared" si="2"/>
        <v>947.38</v>
      </c>
      <c r="F33" s="14">
        <f t="shared" si="3"/>
        <v>3000</v>
      </c>
      <c r="G33" s="22">
        <v>45968.0</v>
      </c>
      <c r="H33" s="16">
        <v>951.54</v>
      </c>
      <c r="I33" s="14">
        <f t="shared" si="4"/>
        <v>5080</v>
      </c>
      <c r="J33" s="20">
        <f t="shared" si="5"/>
        <v>470690</v>
      </c>
      <c r="K33" s="14">
        <f t="shared" si="6"/>
        <v>9</v>
      </c>
      <c r="L33" s="21">
        <f t="shared" si="7"/>
        <v>0.437702569</v>
      </c>
    </row>
    <row r="34">
      <c r="A34" s="16" t="s">
        <v>159</v>
      </c>
      <c r="B34" s="22">
        <v>45959.0</v>
      </c>
      <c r="C34" s="16">
        <v>50000.0</v>
      </c>
      <c r="D34" s="16">
        <v>935.24</v>
      </c>
      <c r="E34" s="14">
        <f t="shared" si="2"/>
        <v>941.24</v>
      </c>
      <c r="F34" s="14">
        <f t="shared" si="3"/>
        <v>3000</v>
      </c>
      <c r="G34" s="22">
        <v>45966.0</v>
      </c>
      <c r="H34" s="16">
        <v>943.09</v>
      </c>
      <c r="I34" s="14">
        <f t="shared" si="4"/>
        <v>3925</v>
      </c>
      <c r="J34" s="20">
        <f t="shared" si="5"/>
        <v>467620</v>
      </c>
      <c r="K34" s="14">
        <f t="shared" si="6"/>
        <v>7</v>
      </c>
      <c r="L34" s="21">
        <f t="shared" si="7"/>
        <v>0.4376645872</v>
      </c>
    </row>
    <row r="35">
      <c r="A35" s="16" t="s">
        <v>160</v>
      </c>
      <c r="B35" s="22">
        <v>45960.0</v>
      </c>
      <c r="C35" s="16">
        <v>50000.0</v>
      </c>
      <c r="D35" s="16">
        <v>933.55</v>
      </c>
      <c r="E35" s="14">
        <f t="shared" si="2"/>
        <v>939.55</v>
      </c>
      <c r="F35" s="14">
        <f t="shared" si="3"/>
        <v>3000</v>
      </c>
      <c r="G35" s="22">
        <v>45966.0</v>
      </c>
      <c r="H35" s="16">
        <v>943.09</v>
      </c>
      <c r="I35" s="14">
        <f t="shared" si="4"/>
        <v>4770</v>
      </c>
      <c r="J35" s="20">
        <f t="shared" si="5"/>
        <v>466775</v>
      </c>
      <c r="K35" s="14">
        <f t="shared" si="6"/>
        <v>6</v>
      </c>
      <c r="L35" s="21">
        <f t="shared" si="7"/>
        <v>0.6216592577</v>
      </c>
    </row>
    <row r="36">
      <c r="A36" s="16" t="s">
        <v>161</v>
      </c>
      <c r="B36" s="22">
        <v>45960.0</v>
      </c>
      <c r="C36" s="16">
        <v>50000.0</v>
      </c>
      <c r="D36" s="16">
        <v>931.58</v>
      </c>
      <c r="E36" s="14">
        <f t="shared" si="2"/>
        <v>937.58</v>
      </c>
      <c r="F36" s="14">
        <f t="shared" si="3"/>
        <v>3000</v>
      </c>
      <c r="G36" s="22">
        <v>45966.0</v>
      </c>
      <c r="H36" s="16">
        <v>943.09</v>
      </c>
      <c r="I36" s="14">
        <f t="shared" si="4"/>
        <v>5755</v>
      </c>
      <c r="J36" s="20">
        <f t="shared" si="5"/>
        <v>465790</v>
      </c>
      <c r="K36" s="14">
        <f t="shared" si="6"/>
        <v>6</v>
      </c>
      <c r="L36" s="21">
        <f t="shared" si="7"/>
        <v>0.751617324</v>
      </c>
    </row>
    <row r="37">
      <c r="A37" s="16" t="s">
        <v>162</v>
      </c>
      <c r="B37" s="22">
        <v>45960.0</v>
      </c>
      <c r="C37" s="16">
        <v>50000.0</v>
      </c>
      <c r="D37" s="16">
        <v>930.69</v>
      </c>
      <c r="E37" s="14">
        <f t="shared" si="2"/>
        <v>936.69</v>
      </c>
      <c r="F37" s="14">
        <f t="shared" si="3"/>
        <v>3000</v>
      </c>
      <c r="G37" s="23">
        <v>45965.0</v>
      </c>
      <c r="H37" s="16">
        <v>936.02</v>
      </c>
      <c r="I37" s="14">
        <f t="shared" si="4"/>
        <v>2665</v>
      </c>
      <c r="J37" s="20">
        <f t="shared" si="5"/>
        <v>465345</v>
      </c>
      <c r="K37" s="14">
        <f t="shared" si="6"/>
        <v>5</v>
      </c>
      <c r="L37" s="21">
        <f t="shared" si="7"/>
        <v>0.418066166</v>
      </c>
    </row>
    <row r="38">
      <c r="A38" s="16" t="s">
        <v>163</v>
      </c>
      <c r="B38" s="22">
        <v>45961.0</v>
      </c>
      <c r="C38" s="16">
        <v>50000.0</v>
      </c>
      <c r="D38" s="16">
        <v>929.62</v>
      </c>
      <c r="E38" s="14">
        <f t="shared" si="2"/>
        <v>935.62</v>
      </c>
      <c r="F38" s="14">
        <f t="shared" si="3"/>
        <v>3000</v>
      </c>
      <c r="G38" s="23">
        <v>45965.0</v>
      </c>
      <c r="H38" s="16">
        <v>934.51</v>
      </c>
      <c r="I38" s="14">
        <f t="shared" si="4"/>
        <v>2445</v>
      </c>
      <c r="J38" s="20">
        <f t="shared" si="5"/>
        <v>464810</v>
      </c>
      <c r="K38" s="14">
        <f t="shared" si="6"/>
        <v>4</v>
      </c>
      <c r="L38" s="21">
        <f t="shared" si="7"/>
        <v>0.4799945139</v>
      </c>
    </row>
    <row r="39">
      <c r="A39" s="16" t="s">
        <v>164</v>
      </c>
      <c r="B39" s="22">
        <v>45961.0</v>
      </c>
      <c r="C39" s="16">
        <v>50000.0</v>
      </c>
      <c r="D39" s="16">
        <v>927.82</v>
      </c>
      <c r="E39" s="14">
        <f t="shared" si="2"/>
        <v>933.82</v>
      </c>
      <c r="F39" s="14">
        <f t="shared" si="3"/>
        <v>3000</v>
      </c>
      <c r="G39" s="23">
        <v>45965.0</v>
      </c>
      <c r="H39" s="16">
        <v>933.78</v>
      </c>
      <c r="I39" s="14">
        <f t="shared" si="4"/>
        <v>2980</v>
      </c>
      <c r="J39" s="20">
        <f t="shared" si="5"/>
        <v>463910</v>
      </c>
      <c r="K39" s="14">
        <f t="shared" si="6"/>
        <v>4</v>
      </c>
      <c r="L39" s="21">
        <f t="shared" si="7"/>
        <v>0.5861589532</v>
      </c>
    </row>
    <row r="40">
      <c r="A40" s="16" t="s">
        <v>159</v>
      </c>
      <c r="B40" s="22">
        <v>45966.0</v>
      </c>
      <c r="C40" s="16">
        <v>50000.0</v>
      </c>
      <c r="D40" s="16">
        <v>941.13</v>
      </c>
      <c r="E40" s="14">
        <f t="shared" si="2"/>
        <v>947.13</v>
      </c>
      <c r="F40" s="14">
        <f t="shared" si="3"/>
        <v>3000</v>
      </c>
      <c r="G40" s="22">
        <v>45968.0</v>
      </c>
      <c r="H40" s="16">
        <v>951.54</v>
      </c>
      <c r="I40" s="14">
        <f t="shared" si="4"/>
        <v>5205</v>
      </c>
      <c r="J40" s="20">
        <f t="shared" si="5"/>
        <v>470565</v>
      </c>
      <c r="K40" s="14">
        <f t="shared" si="6"/>
        <v>2</v>
      </c>
      <c r="L40" s="21">
        <f t="shared" si="7"/>
        <v>2.018663734</v>
      </c>
    </row>
    <row r="41">
      <c r="A41" s="16" t="s">
        <v>160</v>
      </c>
      <c r="B41" s="22">
        <v>45966.0</v>
      </c>
      <c r="C41" s="16">
        <v>50000.0</v>
      </c>
      <c r="D41" s="16">
        <v>939.87</v>
      </c>
      <c r="E41" s="14">
        <f t="shared" si="2"/>
        <v>945.87</v>
      </c>
      <c r="F41" s="14">
        <f t="shared" si="3"/>
        <v>3000</v>
      </c>
      <c r="G41" s="22">
        <v>45968.0</v>
      </c>
      <c r="H41" s="16">
        <v>946.33</v>
      </c>
      <c r="I41" s="14">
        <f t="shared" si="4"/>
        <v>3230</v>
      </c>
      <c r="J41" s="20">
        <f t="shared" si="5"/>
        <v>469935</v>
      </c>
      <c r="K41" s="14">
        <f t="shared" si="6"/>
        <v>2</v>
      </c>
      <c r="L41" s="21">
        <f t="shared" si="7"/>
        <v>1.254375605</v>
      </c>
    </row>
    <row r="42">
      <c r="A42" s="16" t="s">
        <v>161</v>
      </c>
      <c r="B42" s="23">
        <v>45966.0</v>
      </c>
      <c r="C42" s="16">
        <v>50000.0</v>
      </c>
      <c r="D42" s="16">
        <v>937.83</v>
      </c>
      <c r="E42" s="14">
        <f t="shared" si="2"/>
        <v>943.83</v>
      </c>
      <c r="F42" s="14">
        <f t="shared" si="3"/>
        <v>3000</v>
      </c>
      <c r="G42" s="22">
        <v>45968.0</v>
      </c>
      <c r="H42" s="16">
        <v>946.33</v>
      </c>
      <c r="I42" s="14">
        <f t="shared" si="4"/>
        <v>4250</v>
      </c>
      <c r="J42" s="20">
        <f t="shared" si="5"/>
        <v>468915</v>
      </c>
      <c r="K42" s="14">
        <f t="shared" si="6"/>
        <v>2</v>
      </c>
      <c r="L42" s="21">
        <f t="shared" si="7"/>
        <v>1.654084429</v>
      </c>
    </row>
    <row r="43">
      <c r="A43" s="16" t="s">
        <v>162</v>
      </c>
      <c r="B43" s="23">
        <v>45967.0</v>
      </c>
      <c r="C43" s="16">
        <v>50000.0</v>
      </c>
      <c r="D43" s="16">
        <v>938.89</v>
      </c>
      <c r="E43" s="14">
        <f t="shared" si="2"/>
        <v>944.89</v>
      </c>
      <c r="F43" s="14">
        <f t="shared" si="3"/>
        <v>3000</v>
      </c>
      <c r="G43" s="22">
        <v>45968.0</v>
      </c>
      <c r="H43" s="16">
        <v>946.33</v>
      </c>
      <c r="I43" s="14">
        <f t="shared" si="4"/>
        <v>3720</v>
      </c>
      <c r="J43" s="20">
        <f t="shared" si="5"/>
        <v>469445</v>
      </c>
      <c r="K43" s="14">
        <f t="shared" si="6"/>
        <v>1</v>
      </c>
      <c r="L43" s="21">
        <f t="shared" si="7"/>
        <v>2.892351607</v>
      </c>
    </row>
    <row r="44">
      <c r="A44" s="16" t="s">
        <v>163</v>
      </c>
      <c r="B44" s="23">
        <v>45967.0</v>
      </c>
      <c r="C44" s="16">
        <v>50000.0</v>
      </c>
      <c r="D44" s="16">
        <v>940.17</v>
      </c>
      <c r="E44" s="14">
        <f t="shared" si="2"/>
        <v>946.17</v>
      </c>
      <c r="F44" s="14">
        <f t="shared" si="3"/>
        <v>3000</v>
      </c>
      <c r="G44" s="22">
        <v>45968.0</v>
      </c>
      <c r="H44" s="16">
        <v>946.33</v>
      </c>
      <c r="I44" s="14">
        <f t="shared" si="4"/>
        <v>3080</v>
      </c>
      <c r="J44" s="20">
        <f t="shared" si="5"/>
        <v>470085</v>
      </c>
      <c r="K44" s="14">
        <f t="shared" si="6"/>
        <v>1</v>
      </c>
      <c r="L44" s="21">
        <f t="shared" si="7"/>
        <v>2.391482391</v>
      </c>
    </row>
    <row r="45">
      <c r="A45" s="16" t="s">
        <v>143</v>
      </c>
      <c r="B45" s="22">
        <v>45971.0</v>
      </c>
      <c r="C45" s="16">
        <v>60000.0</v>
      </c>
      <c r="D45" s="16">
        <v>948.59</v>
      </c>
      <c r="E45" s="14">
        <f t="shared" si="2"/>
        <v>954.59</v>
      </c>
      <c r="F45" s="14">
        <f t="shared" si="3"/>
        <v>3600</v>
      </c>
      <c r="I45" s="14">
        <f t="shared" si="4"/>
        <v>0</v>
      </c>
      <c r="J45" s="20">
        <f t="shared" si="5"/>
        <v>569154</v>
      </c>
      <c r="K45" s="14" t="str">
        <f t="shared" si="6"/>
        <v>#NUM!</v>
      </c>
      <c r="L45" s="21" t="str">
        <f t="shared" si="7"/>
        <v>#NUM!</v>
      </c>
    </row>
    <row r="46">
      <c r="A46" s="16" t="s">
        <v>144</v>
      </c>
      <c r="B46" s="22">
        <v>45971.0</v>
      </c>
      <c r="C46" s="16">
        <v>60000.0</v>
      </c>
      <c r="D46" s="16">
        <v>945.47</v>
      </c>
      <c r="E46" s="14">
        <f t="shared" si="2"/>
        <v>951.47</v>
      </c>
      <c r="F46" s="14">
        <f t="shared" si="3"/>
        <v>3600</v>
      </c>
      <c r="G46" s="23">
        <v>45996.0</v>
      </c>
      <c r="H46" s="16">
        <v>951.12</v>
      </c>
      <c r="I46" s="14">
        <f t="shared" si="4"/>
        <v>3390</v>
      </c>
      <c r="J46" s="20">
        <f t="shared" si="5"/>
        <v>567282</v>
      </c>
      <c r="K46" s="14">
        <f t="shared" si="6"/>
        <v>25</v>
      </c>
      <c r="L46" s="21">
        <f t="shared" si="7"/>
        <v>0.0872476123</v>
      </c>
    </row>
    <row r="47">
      <c r="A47" s="16" t="s">
        <v>145</v>
      </c>
      <c r="B47" s="22">
        <v>45971.0</v>
      </c>
      <c r="C47" s="16">
        <v>60000.0</v>
      </c>
      <c r="D47" s="16">
        <v>944.49</v>
      </c>
      <c r="E47" s="14">
        <f t="shared" si="2"/>
        <v>950.49</v>
      </c>
      <c r="F47" s="14">
        <f t="shared" si="3"/>
        <v>3600</v>
      </c>
      <c r="G47" s="22">
        <v>45973.0</v>
      </c>
      <c r="H47" s="16">
        <v>950.81</v>
      </c>
      <c r="I47" s="14">
        <f t="shared" si="4"/>
        <v>3792</v>
      </c>
      <c r="J47" s="20">
        <f t="shared" si="5"/>
        <v>566694</v>
      </c>
      <c r="K47" s="14">
        <f t="shared" si="6"/>
        <v>2</v>
      </c>
      <c r="L47" s="21">
        <f t="shared" si="7"/>
        <v>1.221188154</v>
      </c>
    </row>
    <row r="48">
      <c r="A48" s="16" t="s">
        <v>146</v>
      </c>
      <c r="B48" s="22">
        <v>45971.0</v>
      </c>
      <c r="C48" s="16">
        <v>60000.0</v>
      </c>
      <c r="D48" s="16">
        <v>943.15</v>
      </c>
      <c r="E48" s="14">
        <f t="shared" si="2"/>
        <v>949.15</v>
      </c>
      <c r="F48" s="14">
        <f t="shared" si="3"/>
        <v>3600</v>
      </c>
      <c r="G48" s="22">
        <v>45972.0</v>
      </c>
      <c r="H48" s="16">
        <v>949.35</v>
      </c>
      <c r="I48" s="14">
        <f t="shared" si="4"/>
        <v>3720</v>
      </c>
      <c r="J48" s="20">
        <f t="shared" si="5"/>
        <v>565890</v>
      </c>
      <c r="K48" s="14">
        <f t="shared" si="6"/>
        <v>1</v>
      </c>
      <c r="L48" s="21">
        <f t="shared" si="7"/>
        <v>2.399406245</v>
      </c>
    </row>
    <row r="49">
      <c r="A49" s="16" t="s">
        <v>146</v>
      </c>
      <c r="B49" s="22">
        <v>45972.0</v>
      </c>
      <c r="C49" s="16">
        <v>60000.0</v>
      </c>
      <c r="D49" s="16">
        <v>947.71</v>
      </c>
      <c r="E49" s="14">
        <f t="shared" ref="E49:E70" si="8">D49+3</f>
        <v>950.71</v>
      </c>
      <c r="F49" s="14">
        <f t="shared" si="3"/>
        <v>1800</v>
      </c>
      <c r="G49" s="23">
        <v>45996.0</v>
      </c>
      <c r="H49" s="16">
        <v>951.12</v>
      </c>
      <c r="I49" s="14">
        <f t="shared" si="4"/>
        <v>2046</v>
      </c>
      <c r="J49" s="20">
        <f t="shared" si="5"/>
        <v>568626</v>
      </c>
      <c r="K49" s="14">
        <f t="shared" si="6"/>
        <v>24</v>
      </c>
      <c r="L49" s="21">
        <f t="shared" si="7"/>
        <v>0.05472182067</v>
      </c>
    </row>
    <row r="50">
      <c r="A50" s="16" t="s">
        <v>147</v>
      </c>
      <c r="B50" s="22">
        <v>45972.0</v>
      </c>
      <c r="C50" s="16">
        <v>60000.0</v>
      </c>
      <c r="D50" s="16">
        <v>949.04</v>
      </c>
      <c r="E50" s="14">
        <f t="shared" si="8"/>
        <v>952.04</v>
      </c>
      <c r="F50" s="14">
        <f t="shared" si="3"/>
        <v>1800</v>
      </c>
      <c r="I50" s="14">
        <f t="shared" si="4"/>
        <v>0</v>
      </c>
      <c r="J50" s="20">
        <f t="shared" si="5"/>
        <v>569424</v>
      </c>
      <c r="K50" s="14" t="str">
        <f t="shared" si="6"/>
        <v>#NUM!</v>
      </c>
      <c r="L50" s="21" t="str">
        <f t="shared" si="7"/>
        <v>#NUM!</v>
      </c>
    </row>
    <row r="51">
      <c r="A51" s="16" t="s">
        <v>148</v>
      </c>
      <c r="B51" s="22">
        <v>45973.0</v>
      </c>
      <c r="C51" s="16">
        <v>60000.0</v>
      </c>
      <c r="D51" s="16">
        <v>947.77</v>
      </c>
      <c r="E51" s="14">
        <f t="shared" si="8"/>
        <v>950.77</v>
      </c>
      <c r="F51" s="14">
        <f t="shared" si="3"/>
        <v>1800</v>
      </c>
      <c r="G51" s="23">
        <v>45996.0</v>
      </c>
      <c r="H51" s="16">
        <v>951.12</v>
      </c>
      <c r="I51" s="14">
        <f t="shared" si="4"/>
        <v>2010</v>
      </c>
      <c r="J51" s="20">
        <f t="shared" si="5"/>
        <v>568662</v>
      </c>
      <c r="K51" s="14">
        <f t="shared" si="6"/>
        <v>23</v>
      </c>
      <c r="L51" s="21">
        <f t="shared" si="7"/>
        <v>0.05609276879</v>
      </c>
    </row>
    <row r="52">
      <c r="A52" s="16" t="s">
        <v>145</v>
      </c>
      <c r="B52" s="22">
        <v>45973.0</v>
      </c>
      <c r="C52" s="16">
        <v>60000.0</v>
      </c>
      <c r="D52" s="16">
        <v>950.87</v>
      </c>
      <c r="E52" s="14">
        <f t="shared" si="8"/>
        <v>953.87</v>
      </c>
      <c r="F52" s="14">
        <f t="shared" si="3"/>
        <v>1800</v>
      </c>
      <c r="I52" s="14">
        <f t="shared" si="4"/>
        <v>0</v>
      </c>
      <c r="J52" s="20">
        <f t="shared" si="5"/>
        <v>570522</v>
      </c>
      <c r="K52" s="14" t="str">
        <f t="shared" si="6"/>
        <v>#NUM!</v>
      </c>
      <c r="L52" s="21" t="str">
        <f t="shared" si="7"/>
        <v>#NUM!</v>
      </c>
    </row>
    <row r="53">
      <c r="A53" s="16" t="s">
        <v>149</v>
      </c>
      <c r="B53" s="22">
        <v>45973.0</v>
      </c>
      <c r="C53" s="16">
        <v>60000.0</v>
      </c>
      <c r="D53" s="16">
        <v>948.01</v>
      </c>
      <c r="E53" s="14">
        <f t="shared" si="8"/>
        <v>951.01</v>
      </c>
      <c r="F53" s="14">
        <f t="shared" si="3"/>
        <v>1800</v>
      </c>
      <c r="G53" s="23">
        <v>45996.0</v>
      </c>
      <c r="H53" s="16">
        <v>951.12</v>
      </c>
      <c r="I53" s="14">
        <f t="shared" si="4"/>
        <v>1866</v>
      </c>
      <c r="J53" s="20">
        <f t="shared" si="5"/>
        <v>568806</v>
      </c>
      <c r="K53" s="14">
        <f t="shared" si="6"/>
        <v>23</v>
      </c>
      <c r="L53" s="21">
        <f t="shared" si="7"/>
        <v>0.05206099917</v>
      </c>
    </row>
    <row r="54">
      <c r="A54" s="16" t="s">
        <v>150</v>
      </c>
      <c r="B54" s="22">
        <v>45974.0</v>
      </c>
      <c r="C54" s="16">
        <v>60000.0</v>
      </c>
      <c r="D54" s="16">
        <v>950.04</v>
      </c>
      <c r="E54" s="14">
        <f t="shared" si="8"/>
        <v>953.04</v>
      </c>
      <c r="F54" s="14">
        <f t="shared" si="3"/>
        <v>1800</v>
      </c>
      <c r="I54" s="14">
        <f t="shared" si="4"/>
        <v>0</v>
      </c>
      <c r="J54" s="20">
        <f t="shared" si="5"/>
        <v>570024</v>
      </c>
      <c r="K54" s="14" t="str">
        <f t="shared" si="6"/>
        <v>#NUM!</v>
      </c>
      <c r="L54" s="21" t="str">
        <f t="shared" si="7"/>
        <v>#NUM!</v>
      </c>
    </row>
    <row r="55">
      <c r="A55" s="16" t="s">
        <v>151</v>
      </c>
      <c r="B55" s="22">
        <v>45974.0</v>
      </c>
      <c r="C55" s="16">
        <v>60000.0</v>
      </c>
      <c r="D55" s="16">
        <v>949.34</v>
      </c>
      <c r="E55" s="14">
        <f t="shared" si="8"/>
        <v>952.34</v>
      </c>
      <c r="F55" s="14">
        <f t="shared" si="3"/>
        <v>1800</v>
      </c>
      <c r="I55" s="14">
        <f t="shared" si="4"/>
        <v>0</v>
      </c>
      <c r="J55" s="20">
        <f t="shared" si="5"/>
        <v>569604</v>
      </c>
      <c r="K55" s="14" t="str">
        <f t="shared" si="6"/>
        <v>#NUM!</v>
      </c>
      <c r="L55" s="21" t="str">
        <f t="shared" si="7"/>
        <v>#NUM!</v>
      </c>
    </row>
    <row r="56">
      <c r="A56" s="16" t="s">
        <v>152</v>
      </c>
      <c r="B56" s="22">
        <v>45974.0</v>
      </c>
      <c r="C56" s="16">
        <v>60000.0</v>
      </c>
      <c r="D56" s="16">
        <v>948.37</v>
      </c>
      <c r="E56" s="14">
        <f t="shared" si="8"/>
        <v>951.37</v>
      </c>
      <c r="F56" s="14">
        <f t="shared" si="3"/>
        <v>1800</v>
      </c>
      <c r="G56" s="23">
        <v>45996.0</v>
      </c>
      <c r="H56" s="16">
        <v>951.12</v>
      </c>
      <c r="I56" s="14">
        <f t="shared" si="4"/>
        <v>1650</v>
      </c>
      <c r="J56" s="20">
        <f t="shared" si="5"/>
        <v>569022</v>
      </c>
      <c r="K56" s="14">
        <f t="shared" si="6"/>
        <v>22</v>
      </c>
      <c r="L56" s="21">
        <f t="shared" si="7"/>
        <v>0.04810886047</v>
      </c>
    </row>
    <row r="57">
      <c r="A57" s="16" t="s">
        <v>153</v>
      </c>
      <c r="B57" s="22">
        <v>45974.0</v>
      </c>
      <c r="C57" s="16">
        <v>60000.0</v>
      </c>
      <c r="D57" s="16">
        <v>947.42</v>
      </c>
      <c r="E57" s="14">
        <f t="shared" si="8"/>
        <v>950.42</v>
      </c>
      <c r="F57" s="14">
        <f t="shared" si="3"/>
        <v>1800</v>
      </c>
      <c r="G57" s="16" t="s">
        <v>165</v>
      </c>
      <c r="H57" s="16">
        <v>951.12</v>
      </c>
      <c r="I57" s="14">
        <f t="shared" si="4"/>
        <v>2220</v>
      </c>
      <c r="J57" s="20">
        <f t="shared" si="5"/>
        <v>568452</v>
      </c>
      <c r="K57" s="14" t="str">
        <f t="shared" si="6"/>
        <v>#VALUE!</v>
      </c>
      <c r="L57" s="21" t="str">
        <f t="shared" si="7"/>
        <v>#VALUE!</v>
      </c>
    </row>
    <row r="58">
      <c r="A58" s="16" t="s">
        <v>154</v>
      </c>
      <c r="B58" s="22">
        <v>45975.0</v>
      </c>
      <c r="C58" s="16">
        <v>60000.0</v>
      </c>
      <c r="D58" s="16">
        <v>949.68</v>
      </c>
      <c r="E58" s="14">
        <f t="shared" si="8"/>
        <v>952.68</v>
      </c>
      <c r="F58" s="14">
        <f t="shared" si="3"/>
        <v>1800</v>
      </c>
      <c r="I58" s="14">
        <f t="shared" si="4"/>
        <v>0</v>
      </c>
      <c r="J58" s="20">
        <f t="shared" si="5"/>
        <v>569808</v>
      </c>
      <c r="K58" s="14" t="str">
        <f t="shared" si="6"/>
        <v>#NUM!</v>
      </c>
      <c r="L58" s="21" t="str">
        <f t="shared" si="7"/>
        <v>#NUM!</v>
      </c>
    </row>
    <row r="59">
      <c r="A59" s="16" t="s">
        <v>159</v>
      </c>
      <c r="B59" s="22">
        <v>45975.0</v>
      </c>
      <c r="C59" s="16">
        <v>60000.0</v>
      </c>
      <c r="D59" s="16">
        <v>945.67</v>
      </c>
      <c r="E59" s="14">
        <f t="shared" si="8"/>
        <v>948.67</v>
      </c>
      <c r="F59" s="14">
        <f t="shared" si="3"/>
        <v>1800</v>
      </c>
      <c r="G59" s="23">
        <v>45995.0</v>
      </c>
      <c r="H59" s="16">
        <v>948.6</v>
      </c>
      <c r="I59" s="14">
        <f t="shared" si="4"/>
        <v>1758</v>
      </c>
      <c r="J59" s="20">
        <f t="shared" si="5"/>
        <v>567402</v>
      </c>
      <c r="K59" s="14">
        <f t="shared" si="6"/>
        <v>20</v>
      </c>
      <c r="L59" s="21">
        <f t="shared" si="7"/>
        <v>0.05654456629</v>
      </c>
    </row>
    <row r="60">
      <c r="A60" s="16" t="s">
        <v>160</v>
      </c>
      <c r="B60" s="22">
        <v>45975.0</v>
      </c>
      <c r="C60" s="16">
        <v>60000.0</v>
      </c>
      <c r="D60" s="16">
        <v>944.69</v>
      </c>
      <c r="E60" s="14">
        <f t="shared" si="8"/>
        <v>947.69</v>
      </c>
      <c r="F60" s="14">
        <f t="shared" si="3"/>
        <v>1800</v>
      </c>
      <c r="G60" s="23">
        <v>45995.0</v>
      </c>
      <c r="H60" s="16">
        <v>948.54</v>
      </c>
      <c r="I60" s="14">
        <f t="shared" si="4"/>
        <v>2310</v>
      </c>
      <c r="J60" s="20">
        <f t="shared" si="5"/>
        <v>566814</v>
      </c>
      <c r="K60" s="14">
        <f t="shared" si="6"/>
        <v>20</v>
      </c>
      <c r="L60" s="21">
        <f t="shared" si="7"/>
        <v>0.07437625041</v>
      </c>
    </row>
    <row r="61">
      <c r="A61" s="16" t="s">
        <v>161</v>
      </c>
      <c r="B61" s="22">
        <v>45975.0</v>
      </c>
      <c r="C61" s="16">
        <v>60000.0</v>
      </c>
      <c r="D61" s="16">
        <v>941.79</v>
      </c>
      <c r="E61" s="14">
        <f t="shared" si="8"/>
        <v>944.79</v>
      </c>
      <c r="F61" s="14">
        <f t="shared" si="3"/>
        <v>1800</v>
      </c>
      <c r="G61" s="23">
        <v>45992.0</v>
      </c>
      <c r="H61" s="16">
        <v>944.81</v>
      </c>
      <c r="I61" s="14">
        <f t="shared" si="4"/>
        <v>1812</v>
      </c>
      <c r="J61" s="20">
        <f t="shared" si="5"/>
        <v>565074</v>
      </c>
      <c r="K61" s="14">
        <f t="shared" si="6"/>
        <v>17</v>
      </c>
      <c r="L61" s="21">
        <f t="shared" si="7"/>
        <v>0.06884886914</v>
      </c>
    </row>
    <row r="62">
      <c r="A62" s="16" t="s">
        <v>162</v>
      </c>
      <c r="B62" s="22">
        <v>45975.0</v>
      </c>
      <c r="C62" s="16">
        <v>60000.0</v>
      </c>
      <c r="D62" s="16">
        <v>943.7</v>
      </c>
      <c r="E62" s="14">
        <f t="shared" si="8"/>
        <v>946.7</v>
      </c>
      <c r="F62" s="14">
        <f t="shared" si="3"/>
        <v>1800</v>
      </c>
      <c r="G62" s="23">
        <v>45995.0</v>
      </c>
      <c r="H62" s="16">
        <v>947.27</v>
      </c>
      <c r="I62" s="14">
        <f t="shared" si="4"/>
        <v>2142</v>
      </c>
      <c r="J62" s="20">
        <f t="shared" si="5"/>
        <v>566220</v>
      </c>
      <c r="K62" s="14">
        <f t="shared" si="6"/>
        <v>20</v>
      </c>
      <c r="L62" s="21">
        <f t="shared" si="7"/>
        <v>0.06903941931</v>
      </c>
    </row>
    <row r="63">
      <c r="A63" s="16" t="s">
        <v>163</v>
      </c>
      <c r="B63" s="22">
        <v>45976.0</v>
      </c>
      <c r="C63" s="16">
        <v>60000.0</v>
      </c>
      <c r="D63" s="16">
        <v>942.75</v>
      </c>
      <c r="E63" s="14">
        <f t="shared" si="8"/>
        <v>945.75</v>
      </c>
      <c r="F63" s="14">
        <f t="shared" si="3"/>
        <v>1800</v>
      </c>
      <c r="G63" s="23">
        <v>45993.0</v>
      </c>
      <c r="H63" s="16">
        <v>946.23</v>
      </c>
      <c r="I63" s="14">
        <f t="shared" si="4"/>
        <v>2088</v>
      </c>
      <c r="J63" s="20">
        <f t="shared" si="5"/>
        <v>565650</v>
      </c>
      <c r="K63" s="14">
        <f t="shared" si="6"/>
        <v>17</v>
      </c>
      <c r="L63" s="21">
        <f t="shared" si="7"/>
        <v>0.07925499555</v>
      </c>
    </row>
    <row r="64">
      <c r="A64" s="16" t="s">
        <v>164</v>
      </c>
      <c r="B64" s="22">
        <v>45978.0</v>
      </c>
      <c r="C64" s="16">
        <v>60000.0</v>
      </c>
      <c r="D64" s="16">
        <v>941.98</v>
      </c>
      <c r="E64" s="14">
        <f t="shared" si="8"/>
        <v>944.98</v>
      </c>
      <c r="F64" s="14">
        <f t="shared" si="3"/>
        <v>1800</v>
      </c>
      <c r="G64" s="23">
        <v>45992.0</v>
      </c>
      <c r="H64" s="16">
        <v>945.06</v>
      </c>
      <c r="I64" s="14">
        <f t="shared" si="4"/>
        <v>1848</v>
      </c>
      <c r="J64" s="20">
        <f t="shared" si="5"/>
        <v>565188</v>
      </c>
      <c r="K64" s="14">
        <f t="shared" si="6"/>
        <v>14</v>
      </c>
      <c r="L64" s="21">
        <f t="shared" si="7"/>
        <v>0.08524597125</v>
      </c>
    </row>
    <row r="65">
      <c r="A65" s="16" t="s">
        <v>166</v>
      </c>
      <c r="B65" s="22">
        <v>45978.0</v>
      </c>
      <c r="C65" s="16">
        <v>60000.0</v>
      </c>
      <c r="D65" s="16">
        <v>944.03</v>
      </c>
      <c r="E65" s="14">
        <f t="shared" si="8"/>
        <v>947.03</v>
      </c>
      <c r="F65" s="14">
        <f t="shared" si="3"/>
        <v>1800</v>
      </c>
      <c r="G65" s="23">
        <v>45995.0</v>
      </c>
      <c r="H65" s="16">
        <v>947.27</v>
      </c>
      <c r="I65" s="14">
        <f t="shared" si="4"/>
        <v>1944</v>
      </c>
      <c r="J65" s="20">
        <f t="shared" si="5"/>
        <v>566418</v>
      </c>
      <c r="K65" s="14">
        <f t="shared" si="6"/>
        <v>17</v>
      </c>
      <c r="L65" s="21">
        <f t="shared" si="7"/>
        <v>0.07368908391</v>
      </c>
    </row>
    <row r="66">
      <c r="A66" s="16" t="s">
        <v>167</v>
      </c>
      <c r="B66" s="22">
        <v>45978.0</v>
      </c>
      <c r="C66" s="16">
        <v>60000.0</v>
      </c>
      <c r="D66" s="16">
        <v>942.85</v>
      </c>
      <c r="E66" s="14">
        <f t="shared" si="8"/>
        <v>945.85</v>
      </c>
      <c r="F66" s="14">
        <f t="shared" si="3"/>
        <v>1800</v>
      </c>
      <c r="G66" s="23">
        <v>45993.0</v>
      </c>
      <c r="H66" s="16">
        <v>946.23</v>
      </c>
      <c r="I66" s="14">
        <f t="shared" si="4"/>
        <v>2028</v>
      </c>
      <c r="J66" s="20">
        <f t="shared" si="5"/>
        <v>565710</v>
      </c>
      <c r="K66" s="14">
        <f t="shared" si="6"/>
        <v>15</v>
      </c>
      <c r="L66" s="21">
        <f t="shared" si="7"/>
        <v>0.08723197398</v>
      </c>
    </row>
    <row r="67">
      <c r="A67" s="16" t="s">
        <v>168</v>
      </c>
      <c r="B67" s="22">
        <v>45978.0</v>
      </c>
      <c r="C67" s="16">
        <v>60000.0</v>
      </c>
      <c r="D67" s="16">
        <v>944.13</v>
      </c>
      <c r="E67" s="14">
        <f t="shared" si="8"/>
        <v>947.13</v>
      </c>
      <c r="F67" s="14">
        <f t="shared" si="3"/>
        <v>1800</v>
      </c>
      <c r="G67" s="23">
        <v>45995.0</v>
      </c>
      <c r="H67" s="16">
        <v>947.27</v>
      </c>
      <c r="I67" s="14">
        <f t="shared" si="4"/>
        <v>1884</v>
      </c>
      <c r="J67" s="20">
        <f t="shared" si="5"/>
        <v>566478</v>
      </c>
      <c r="K67" s="14">
        <f t="shared" si="6"/>
        <v>17</v>
      </c>
      <c r="L67" s="21">
        <f t="shared" si="7"/>
        <v>0.07140716539</v>
      </c>
    </row>
    <row r="68">
      <c r="A68" s="16" t="s">
        <v>169</v>
      </c>
      <c r="B68" s="22">
        <v>45979.0</v>
      </c>
      <c r="C68" s="16">
        <v>60000.0</v>
      </c>
      <c r="D68" s="16">
        <v>943.65</v>
      </c>
      <c r="E68" s="14">
        <f t="shared" si="8"/>
        <v>946.65</v>
      </c>
      <c r="F68" s="14">
        <f t="shared" si="3"/>
        <v>1800</v>
      </c>
      <c r="G68" s="23">
        <v>45995.0</v>
      </c>
      <c r="H68" s="16">
        <v>947.27</v>
      </c>
      <c r="I68" s="14">
        <f t="shared" si="4"/>
        <v>2172</v>
      </c>
      <c r="J68" s="20">
        <f t="shared" si="5"/>
        <v>566190</v>
      </c>
      <c r="K68" s="14">
        <f t="shared" si="6"/>
        <v>16</v>
      </c>
      <c r="L68" s="21">
        <f t="shared" si="7"/>
        <v>0.08751258411</v>
      </c>
    </row>
    <row r="69">
      <c r="A69" s="16" t="s">
        <v>170</v>
      </c>
      <c r="B69" s="22">
        <v>45980.0</v>
      </c>
      <c r="C69" s="16">
        <v>60000.0</v>
      </c>
      <c r="D69" s="16">
        <v>940.21</v>
      </c>
      <c r="E69" s="14">
        <f t="shared" si="8"/>
        <v>943.21</v>
      </c>
      <c r="F69" s="14">
        <f t="shared" si="3"/>
        <v>1800</v>
      </c>
      <c r="G69" s="23">
        <v>45992.0</v>
      </c>
      <c r="H69" s="16">
        <v>944.81</v>
      </c>
      <c r="I69" s="14">
        <f t="shared" si="4"/>
        <v>2760</v>
      </c>
      <c r="J69" s="20">
        <f t="shared" si="5"/>
        <v>564126</v>
      </c>
      <c r="K69" s="14">
        <f t="shared" si="6"/>
        <v>12</v>
      </c>
      <c r="L69" s="21">
        <f t="shared" si="7"/>
        <v>0.148814272</v>
      </c>
    </row>
    <row r="70">
      <c r="A70" s="16" t="s">
        <v>171</v>
      </c>
      <c r="B70" s="22">
        <v>45980.0</v>
      </c>
      <c r="C70" s="16">
        <v>60000.0</v>
      </c>
      <c r="D70" s="16">
        <v>941.93</v>
      </c>
      <c r="E70" s="14">
        <f t="shared" si="8"/>
        <v>944.93</v>
      </c>
      <c r="F70" s="14">
        <f t="shared" si="3"/>
        <v>1800</v>
      </c>
      <c r="G70" s="23">
        <v>45992.0</v>
      </c>
      <c r="H70" s="16">
        <v>944.81</v>
      </c>
      <c r="I70" s="14">
        <f t="shared" si="4"/>
        <v>1728</v>
      </c>
      <c r="J70" s="20">
        <f t="shared" si="5"/>
        <v>565158</v>
      </c>
      <c r="K70" s="14">
        <f t="shared" si="6"/>
        <v>12</v>
      </c>
      <c r="L70" s="21">
        <f t="shared" si="7"/>
        <v>0.09300054144</v>
      </c>
    </row>
    <row r="71">
      <c r="A71" s="16" t="s">
        <v>172</v>
      </c>
      <c r="B71" s="22">
        <v>45981.0</v>
      </c>
      <c r="C71" s="16">
        <v>40000.0</v>
      </c>
      <c r="D71" s="16">
        <v>935.45</v>
      </c>
      <c r="E71" s="14">
        <f t="shared" ref="E71:E73" si="9">D71+6</f>
        <v>941.45</v>
      </c>
      <c r="F71" s="14">
        <f t="shared" si="3"/>
        <v>2400</v>
      </c>
      <c r="G71" s="22">
        <v>45981.0</v>
      </c>
      <c r="H71" s="16">
        <v>935.31</v>
      </c>
      <c r="I71" s="14">
        <f t="shared" si="4"/>
        <v>0</v>
      </c>
      <c r="J71" s="20">
        <f t="shared" si="5"/>
        <v>374180</v>
      </c>
      <c r="K71" s="14">
        <f t="shared" si="6"/>
        <v>1</v>
      </c>
      <c r="L71" s="21">
        <f t="shared" si="7"/>
        <v>0</v>
      </c>
    </row>
    <row r="72">
      <c r="A72" s="16" t="s">
        <v>173</v>
      </c>
      <c r="B72" s="22">
        <v>45981.0</v>
      </c>
      <c r="C72" s="16">
        <v>60000.0</v>
      </c>
      <c r="D72" s="16">
        <v>934.13</v>
      </c>
      <c r="E72" s="14">
        <f t="shared" si="9"/>
        <v>940.13</v>
      </c>
      <c r="F72" s="14">
        <f t="shared" si="3"/>
        <v>3600</v>
      </c>
      <c r="G72" s="22">
        <v>45981.0</v>
      </c>
      <c r="H72" s="16">
        <v>935.31</v>
      </c>
      <c r="I72" s="14">
        <f t="shared" si="4"/>
        <v>708</v>
      </c>
      <c r="J72" s="20">
        <f t="shared" si="5"/>
        <v>560478</v>
      </c>
      <c r="K72" s="14">
        <f t="shared" si="6"/>
        <v>1</v>
      </c>
      <c r="L72" s="21">
        <f t="shared" si="7"/>
        <v>0.4610707289</v>
      </c>
    </row>
    <row r="73">
      <c r="A73" s="16" t="s">
        <v>172</v>
      </c>
      <c r="B73" s="22">
        <v>45981.0</v>
      </c>
      <c r="C73" s="16">
        <v>60000.0</v>
      </c>
      <c r="D73" s="16">
        <v>932.22</v>
      </c>
      <c r="E73" s="14">
        <f t="shared" si="9"/>
        <v>938.22</v>
      </c>
      <c r="F73" s="14">
        <f t="shared" si="3"/>
        <v>3600</v>
      </c>
      <c r="G73" s="22">
        <v>45982.0</v>
      </c>
      <c r="H73" s="16">
        <v>937.65</v>
      </c>
      <c r="I73" s="14">
        <f t="shared" si="4"/>
        <v>3258</v>
      </c>
      <c r="J73" s="20">
        <f t="shared" si="5"/>
        <v>559332</v>
      </c>
      <c r="K73" s="14">
        <f t="shared" si="6"/>
        <v>1</v>
      </c>
      <c r="L73" s="21">
        <f t="shared" si="7"/>
        <v>2.126053936</v>
      </c>
    </row>
    <row r="74">
      <c r="A74" s="16" t="s">
        <v>172</v>
      </c>
      <c r="B74" s="22">
        <v>45983.0</v>
      </c>
      <c r="C74" s="16">
        <v>60000.0</v>
      </c>
      <c r="D74" s="16">
        <v>939.71</v>
      </c>
      <c r="E74" s="14">
        <f t="shared" ref="E74:E97" si="10">D74+3</f>
        <v>942.71</v>
      </c>
      <c r="F74" s="14">
        <f t="shared" si="3"/>
        <v>1800</v>
      </c>
      <c r="G74" s="23">
        <v>45992.0</v>
      </c>
      <c r="H74" s="16">
        <v>942.43</v>
      </c>
      <c r="I74" s="14">
        <f t="shared" si="4"/>
        <v>1632</v>
      </c>
      <c r="J74" s="20">
        <f t="shared" si="5"/>
        <v>563826</v>
      </c>
      <c r="K74" s="14">
        <f t="shared" si="6"/>
        <v>9</v>
      </c>
      <c r="L74" s="21">
        <f t="shared" si="7"/>
        <v>0.1173884615</v>
      </c>
    </row>
    <row r="75">
      <c r="A75" s="16" t="s">
        <v>173</v>
      </c>
      <c r="B75" s="22">
        <v>45985.0</v>
      </c>
      <c r="C75" s="16">
        <v>40000.0</v>
      </c>
      <c r="D75" s="16">
        <v>938.91</v>
      </c>
      <c r="E75" s="14">
        <f t="shared" si="10"/>
        <v>941.91</v>
      </c>
      <c r="F75" s="14">
        <f t="shared" si="3"/>
        <v>1200</v>
      </c>
      <c r="G75" s="22">
        <v>45985.0</v>
      </c>
      <c r="H75" s="16">
        <v>941.89</v>
      </c>
      <c r="I75" s="14">
        <f t="shared" si="4"/>
        <v>1192</v>
      </c>
      <c r="J75" s="20">
        <f t="shared" si="5"/>
        <v>375564</v>
      </c>
      <c r="K75" s="14">
        <f t="shared" si="6"/>
        <v>1</v>
      </c>
      <c r="L75" s="21">
        <f t="shared" si="7"/>
        <v>1.158470993</v>
      </c>
    </row>
    <row r="76">
      <c r="A76" s="16" t="s">
        <v>174</v>
      </c>
      <c r="B76" s="22">
        <v>45986.0</v>
      </c>
      <c r="C76" s="16">
        <v>40000.0</v>
      </c>
      <c r="D76" s="16">
        <v>940.24</v>
      </c>
      <c r="E76" s="14">
        <f t="shared" si="10"/>
        <v>943.24</v>
      </c>
      <c r="F76" s="14">
        <f t="shared" si="3"/>
        <v>1200</v>
      </c>
      <c r="G76" s="23">
        <v>45992.0</v>
      </c>
      <c r="H76" s="16">
        <v>944.81</v>
      </c>
      <c r="I76" s="14">
        <f t="shared" si="4"/>
        <v>1828</v>
      </c>
      <c r="J76" s="20">
        <f t="shared" si="5"/>
        <v>376096</v>
      </c>
      <c r="K76" s="14">
        <f t="shared" si="6"/>
        <v>6</v>
      </c>
      <c r="L76" s="21">
        <f t="shared" si="7"/>
        <v>0.2956780538</v>
      </c>
    </row>
    <row r="77">
      <c r="A77" s="16" t="s">
        <v>146</v>
      </c>
      <c r="B77" s="23">
        <v>45993.0</v>
      </c>
      <c r="C77" s="16">
        <v>100000.0</v>
      </c>
      <c r="D77" s="16">
        <v>944.91</v>
      </c>
      <c r="E77" s="14">
        <f t="shared" si="10"/>
        <v>947.91</v>
      </c>
      <c r="F77" s="14">
        <f t="shared" si="3"/>
        <v>3000</v>
      </c>
      <c r="G77" s="23">
        <v>45995.0</v>
      </c>
      <c r="H77" s="16">
        <v>948.54</v>
      </c>
      <c r="I77" s="14">
        <f t="shared" si="4"/>
        <v>3630</v>
      </c>
      <c r="J77" s="20">
        <f t="shared" si="5"/>
        <v>944910</v>
      </c>
      <c r="K77" s="14">
        <f t="shared" si="6"/>
        <v>2</v>
      </c>
      <c r="L77" s="21">
        <f t="shared" si="7"/>
        <v>0.7010985173</v>
      </c>
    </row>
    <row r="78">
      <c r="A78" s="16" t="s">
        <v>161</v>
      </c>
      <c r="B78" s="23">
        <v>45993.0</v>
      </c>
      <c r="C78" s="16">
        <v>100000.0</v>
      </c>
      <c r="D78" s="16">
        <v>943.18</v>
      </c>
      <c r="E78" s="14">
        <f t="shared" si="10"/>
        <v>946.18</v>
      </c>
      <c r="F78" s="14">
        <f t="shared" si="3"/>
        <v>3000</v>
      </c>
      <c r="G78" s="23">
        <v>45995.0</v>
      </c>
      <c r="H78" s="16">
        <v>947.27</v>
      </c>
      <c r="I78" s="14">
        <f t="shared" si="4"/>
        <v>4090</v>
      </c>
      <c r="J78" s="20">
        <f t="shared" si="5"/>
        <v>943180</v>
      </c>
      <c r="K78" s="14">
        <f t="shared" si="6"/>
        <v>2</v>
      </c>
      <c r="L78" s="21">
        <f t="shared" si="7"/>
        <v>0.791391887</v>
      </c>
    </row>
    <row r="79">
      <c r="A79" s="16" t="s">
        <v>144</v>
      </c>
      <c r="B79" s="23">
        <v>45999.0</v>
      </c>
      <c r="C79" s="16">
        <v>100000.0</v>
      </c>
      <c r="D79" s="16">
        <v>948.31</v>
      </c>
      <c r="E79" s="14">
        <f t="shared" si="10"/>
        <v>951.31</v>
      </c>
      <c r="F79" s="14">
        <f t="shared" si="3"/>
        <v>3000</v>
      </c>
      <c r="I79" s="14">
        <f t="shared" si="4"/>
        <v>0</v>
      </c>
      <c r="J79" s="20">
        <f t="shared" si="5"/>
        <v>948310</v>
      </c>
      <c r="K79" s="14" t="str">
        <f t="shared" si="6"/>
        <v>#NUM!</v>
      </c>
      <c r="L79" s="21" t="str">
        <f t="shared" si="7"/>
        <v>#NUM!</v>
      </c>
    </row>
    <row r="80">
      <c r="A80" s="16" t="s">
        <v>146</v>
      </c>
      <c r="B80" s="23">
        <v>45999.0</v>
      </c>
      <c r="C80" s="16">
        <v>100000.0</v>
      </c>
      <c r="D80" s="16">
        <v>945.59</v>
      </c>
      <c r="E80" s="14">
        <f t="shared" si="10"/>
        <v>948.59</v>
      </c>
      <c r="F80" s="14">
        <f t="shared" si="3"/>
        <v>3000</v>
      </c>
      <c r="I80" s="14">
        <f t="shared" si="4"/>
        <v>0</v>
      </c>
      <c r="J80" s="20">
        <f t="shared" si="5"/>
        <v>945590</v>
      </c>
      <c r="K80" s="14" t="str">
        <f t="shared" si="6"/>
        <v>#NUM!</v>
      </c>
      <c r="L80" s="21" t="str">
        <f t="shared" si="7"/>
        <v>#NUM!</v>
      </c>
    </row>
    <row r="81">
      <c r="A81" s="16" t="s">
        <v>148</v>
      </c>
      <c r="B81" s="23">
        <v>45999.0</v>
      </c>
      <c r="C81" s="16">
        <v>100000.0</v>
      </c>
      <c r="D81" s="16">
        <v>944.16</v>
      </c>
      <c r="E81" s="14">
        <f t="shared" si="10"/>
        <v>947.16</v>
      </c>
      <c r="F81" s="14">
        <f t="shared" si="3"/>
        <v>3000</v>
      </c>
      <c r="G81" s="22">
        <v>46004.0</v>
      </c>
      <c r="H81" s="16">
        <v>947.45</v>
      </c>
      <c r="I81" s="14">
        <f t="shared" si="4"/>
        <v>3290</v>
      </c>
      <c r="J81" s="20">
        <f t="shared" si="5"/>
        <v>944160</v>
      </c>
      <c r="K81" s="14">
        <f t="shared" si="6"/>
        <v>5</v>
      </c>
      <c r="L81" s="21">
        <f t="shared" si="7"/>
        <v>0.2543742586</v>
      </c>
    </row>
    <row r="82">
      <c r="A82" s="16" t="s">
        <v>149</v>
      </c>
      <c r="B82" s="23">
        <v>46000.0</v>
      </c>
      <c r="C82" s="16">
        <v>100000.0</v>
      </c>
      <c r="D82" s="16">
        <v>943.41</v>
      </c>
      <c r="E82" s="14">
        <f t="shared" si="10"/>
        <v>946.41</v>
      </c>
      <c r="F82" s="14">
        <f t="shared" si="3"/>
        <v>3000</v>
      </c>
      <c r="G82" s="22">
        <v>46003.0</v>
      </c>
      <c r="H82" s="16">
        <v>946.21</v>
      </c>
      <c r="I82" s="14">
        <f t="shared" si="4"/>
        <v>2800</v>
      </c>
      <c r="J82" s="20">
        <f t="shared" si="5"/>
        <v>943410</v>
      </c>
      <c r="K82" s="14">
        <f t="shared" si="6"/>
        <v>3</v>
      </c>
      <c r="L82" s="21">
        <f t="shared" si="7"/>
        <v>0.3611013946</v>
      </c>
    </row>
    <row r="83">
      <c r="A83" s="16" t="s">
        <v>152</v>
      </c>
      <c r="B83" s="23">
        <v>46000.0</v>
      </c>
      <c r="C83" s="16">
        <v>100000.0</v>
      </c>
      <c r="D83" s="16">
        <v>941.5</v>
      </c>
      <c r="E83" s="14">
        <f t="shared" si="10"/>
        <v>944.5</v>
      </c>
      <c r="F83" s="14">
        <f t="shared" si="3"/>
        <v>3000</v>
      </c>
      <c r="G83" s="22">
        <v>46002.0</v>
      </c>
      <c r="H83" s="16">
        <v>944.99</v>
      </c>
      <c r="I83" s="14">
        <f t="shared" si="4"/>
        <v>3490</v>
      </c>
      <c r="J83" s="20">
        <f t="shared" si="5"/>
        <v>941500</v>
      </c>
      <c r="K83" s="14">
        <f t="shared" si="6"/>
        <v>2</v>
      </c>
      <c r="L83" s="21">
        <f t="shared" si="7"/>
        <v>0.6765002655</v>
      </c>
    </row>
    <row r="84">
      <c r="A84" s="16" t="s">
        <v>153</v>
      </c>
      <c r="B84" s="23">
        <v>46000.0</v>
      </c>
      <c r="C84" s="16">
        <v>100000.0</v>
      </c>
      <c r="D84" s="16">
        <v>940.9</v>
      </c>
      <c r="E84" s="14">
        <f t="shared" si="10"/>
        <v>943.9</v>
      </c>
      <c r="F84" s="14">
        <f t="shared" si="3"/>
        <v>3000</v>
      </c>
      <c r="G84" s="22">
        <v>46002.0</v>
      </c>
      <c r="H84" s="16">
        <v>943.97</v>
      </c>
      <c r="I84" s="14">
        <f t="shared" si="4"/>
        <v>3070</v>
      </c>
      <c r="J84" s="20">
        <f t="shared" si="5"/>
        <v>940900</v>
      </c>
      <c r="K84" s="14">
        <f t="shared" si="6"/>
        <v>2</v>
      </c>
      <c r="L84" s="21">
        <f t="shared" si="7"/>
        <v>0.595467106</v>
      </c>
    </row>
    <row r="85">
      <c r="A85" s="16" t="s">
        <v>159</v>
      </c>
      <c r="B85" s="22">
        <v>46001.0</v>
      </c>
      <c r="C85" s="16">
        <v>100000.0</v>
      </c>
      <c r="D85" s="16">
        <v>938.77</v>
      </c>
      <c r="E85" s="14">
        <f t="shared" si="10"/>
        <v>941.77</v>
      </c>
      <c r="F85" s="14">
        <f t="shared" si="3"/>
        <v>3000</v>
      </c>
      <c r="G85" s="22">
        <v>46002.0</v>
      </c>
      <c r="H85" s="16">
        <v>941.78</v>
      </c>
      <c r="I85" s="14">
        <f t="shared" si="4"/>
        <v>3010</v>
      </c>
      <c r="J85" s="20">
        <f t="shared" si="5"/>
        <v>938770</v>
      </c>
      <c r="K85" s="14">
        <f t="shared" si="6"/>
        <v>1</v>
      </c>
      <c r="L85" s="21">
        <f t="shared" si="7"/>
        <v>1.170307956</v>
      </c>
    </row>
    <row r="86">
      <c r="A86" s="16" t="s">
        <v>160</v>
      </c>
      <c r="B86" s="22">
        <v>46001.0</v>
      </c>
      <c r="C86" s="16">
        <v>100000.0</v>
      </c>
      <c r="D86" s="16">
        <v>939.63</v>
      </c>
      <c r="E86" s="14">
        <f t="shared" si="10"/>
        <v>942.63</v>
      </c>
      <c r="F86" s="14">
        <f t="shared" si="3"/>
        <v>3000</v>
      </c>
      <c r="G86" s="22">
        <v>46002.0</v>
      </c>
      <c r="H86" s="16">
        <v>943.97</v>
      </c>
      <c r="I86" s="14">
        <f t="shared" si="4"/>
        <v>4340</v>
      </c>
      <c r="J86" s="20">
        <f t="shared" si="5"/>
        <v>939630</v>
      </c>
      <c r="K86" s="14">
        <f t="shared" si="6"/>
        <v>1</v>
      </c>
      <c r="L86" s="21">
        <f t="shared" si="7"/>
        <v>1.685876356</v>
      </c>
    </row>
    <row r="87">
      <c r="A87" s="16" t="s">
        <v>149</v>
      </c>
      <c r="B87" s="22">
        <v>46003.0</v>
      </c>
      <c r="C87" s="16">
        <v>100000.0</v>
      </c>
      <c r="D87" s="16">
        <v>946.32</v>
      </c>
      <c r="E87" s="14">
        <f t="shared" si="10"/>
        <v>949.32</v>
      </c>
      <c r="F87" s="14">
        <f t="shared" si="3"/>
        <v>3000</v>
      </c>
      <c r="I87" s="14">
        <f t="shared" si="4"/>
        <v>0</v>
      </c>
      <c r="J87" s="20">
        <f t="shared" si="5"/>
        <v>946320</v>
      </c>
      <c r="K87" s="14" t="str">
        <f t="shared" si="6"/>
        <v>#NUM!</v>
      </c>
      <c r="L87" s="21" t="str">
        <f t="shared" si="7"/>
        <v>#NUM!</v>
      </c>
    </row>
    <row r="88">
      <c r="E88" s="14">
        <f t="shared" si="10"/>
        <v>3</v>
      </c>
      <c r="F88" s="14">
        <f t="shared" si="3"/>
        <v>0</v>
      </c>
      <c r="I88" s="14">
        <f t="shared" si="4"/>
        <v>0</v>
      </c>
      <c r="J88" s="20">
        <f t="shared" si="5"/>
        <v>0</v>
      </c>
      <c r="K88" s="14">
        <f t="shared" si="6"/>
        <v>1</v>
      </c>
      <c r="L88" s="21" t="str">
        <f t="shared" si="7"/>
        <v>#DIV/0!</v>
      </c>
    </row>
    <row r="89">
      <c r="E89" s="14">
        <f t="shared" si="10"/>
        <v>3</v>
      </c>
      <c r="F89" s="14">
        <f t="shared" si="3"/>
        <v>0</v>
      </c>
      <c r="I89" s="14">
        <f t="shared" si="4"/>
        <v>0</v>
      </c>
      <c r="J89" s="20">
        <f t="shared" si="5"/>
        <v>0</v>
      </c>
      <c r="K89" s="14">
        <f t="shared" si="6"/>
        <v>1</v>
      </c>
      <c r="L89" s="21" t="str">
        <f t="shared" si="7"/>
        <v>#DIV/0!</v>
      </c>
    </row>
    <row r="90">
      <c r="E90" s="14">
        <f t="shared" si="10"/>
        <v>3</v>
      </c>
      <c r="F90" s="14">
        <f t="shared" si="3"/>
        <v>0</v>
      </c>
      <c r="I90" s="14">
        <f t="shared" si="4"/>
        <v>0</v>
      </c>
      <c r="J90" s="20">
        <f t="shared" si="5"/>
        <v>0</v>
      </c>
      <c r="K90" s="14">
        <f t="shared" si="6"/>
        <v>1</v>
      </c>
      <c r="L90" s="21" t="str">
        <f t="shared" si="7"/>
        <v>#DIV/0!</v>
      </c>
    </row>
    <row r="91">
      <c r="E91" s="14">
        <f t="shared" si="10"/>
        <v>3</v>
      </c>
      <c r="F91" s="14">
        <f t="shared" si="3"/>
        <v>0</v>
      </c>
      <c r="I91" s="14">
        <f t="shared" si="4"/>
        <v>0</v>
      </c>
      <c r="J91" s="20">
        <f t="shared" si="5"/>
        <v>0</v>
      </c>
      <c r="K91" s="14">
        <f t="shared" si="6"/>
        <v>1</v>
      </c>
      <c r="L91" s="21" t="str">
        <f t="shared" si="7"/>
        <v>#DIV/0!</v>
      </c>
    </row>
    <row r="92">
      <c r="E92" s="14">
        <f t="shared" si="10"/>
        <v>3</v>
      </c>
      <c r="F92" s="14">
        <f t="shared" si="3"/>
        <v>0</v>
      </c>
      <c r="I92" s="14">
        <f t="shared" si="4"/>
        <v>0</v>
      </c>
      <c r="J92" s="20">
        <f t="shared" si="5"/>
        <v>0</v>
      </c>
      <c r="K92" s="14">
        <f t="shared" si="6"/>
        <v>1</v>
      </c>
      <c r="L92" s="21" t="str">
        <f t="shared" si="7"/>
        <v>#DIV/0!</v>
      </c>
    </row>
    <row r="93">
      <c r="E93" s="14">
        <f t="shared" si="10"/>
        <v>3</v>
      </c>
      <c r="F93" s="14">
        <f t="shared" si="3"/>
        <v>0</v>
      </c>
      <c r="I93" s="14">
        <f t="shared" si="4"/>
        <v>0</v>
      </c>
      <c r="J93" s="20">
        <f t="shared" si="5"/>
        <v>0</v>
      </c>
      <c r="K93" s="14">
        <f t="shared" si="6"/>
        <v>1</v>
      </c>
      <c r="L93" s="21" t="str">
        <f t="shared" si="7"/>
        <v>#DIV/0!</v>
      </c>
    </row>
    <row r="94">
      <c r="E94" s="14">
        <f t="shared" si="10"/>
        <v>3</v>
      </c>
      <c r="F94" s="14">
        <f t="shared" si="3"/>
        <v>0</v>
      </c>
      <c r="I94" s="14">
        <f t="shared" si="4"/>
        <v>0</v>
      </c>
      <c r="J94" s="20">
        <f t="shared" si="5"/>
        <v>0</v>
      </c>
      <c r="K94" s="14">
        <f t="shared" si="6"/>
        <v>1</v>
      </c>
      <c r="L94" s="21" t="str">
        <f t="shared" si="7"/>
        <v>#DIV/0!</v>
      </c>
    </row>
    <row r="95">
      <c r="E95" s="14">
        <f t="shared" si="10"/>
        <v>3</v>
      </c>
      <c r="F95" s="14">
        <f t="shared" si="3"/>
        <v>0</v>
      </c>
      <c r="I95" s="14">
        <f t="shared" si="4"/>
        <v>0</v>
      </c>
      <c r="J95" s="20">
        <f t="shared" si="5"/>
        <v>0</v>
      </c>
      <c r="K95" s="14">
        <f t="shared" si="6"/>
        <v>1</v>
      </c>
      <c r="L95" s="21" t="str">
        <f t="shared" si="7"/>
        <v>#DIV/0!</v>
      </c>
    </row>
    <row r="96">
      <c r="E96" s="14">
        <f t="shared" si="10"/>
        <v>3</v>
      </c>
      <c r="F96" s="14">
        <f t="shared" si="3"/>
        <v>0</v>
      </c>
      <c r="I96" s="14">
        <f t="shared" si="4"/>
        <v>0</v>
      </c>
      <c r="J96" s="20">
        <f t="shared" si="5"/>
        <v>0</v>
      </c>
      <c r="K96" s="14">
        <f t="shared" si="6"/>
        <v>1</v>
      </c>
      <c r="L96" s="21" t="str">
        <f t="shared" si="7"/>
        <v>#DIV/0!</v>
      </c>
    </row>
    <row r="97">
      <c r="E97" s="14">
        <f t="shared" si="10"/>
        <v>3</v>
      </c>
      <c r="F97" s="14">
        <f t="shared" si="3"/>
        <v>0</v>
      </c>
      <c r="I97" s="14">
        <f t="shared" si="4"/>
        <v>0</v>
      </c>
      <c r="J97" s="20">
        <f t="shared" si="5"/>
        <v>0</v>
      </c>
      <c r="K97" s="14">
        <f t="shared" si="6"/>
        <v>1</v>
      </c>
      <c r="L97" s="21" t="str">
        <f t="shared" si="7"/>
        <v>#DIV/0!</v>
      </c>
    </row>
    <row r="98">
      <c r="J98" s="20"/>
      <c r="L98" s="21"/>
    </row>
    <row r="99">
      <c r="J99" s="20"/>
      <c r="L99" s="21"/>
    </row>
    <row r="100">
      <c r="J100" s="20"/>
      <c r="L100" s="21"/>
    </row>
    <row r="101">
      <c r="J101" s="20"/>
      <c r="L101" s="21"/>
    </row>
    <row r="102">
      <c r="J102" s="20"/>
      <c r="L102" s="21"/>
    </row>
    <row r="103">
      <c r="J103" s="20"/>
      <c r="L103" s="21"/>
    </row>
    <row r="104">
      <c r="J104" s="20"/>
      <c r="L104" s="21"/>
    </row>
    <row r="105">
      <c r="J105" s="20"/>
      <c r="L105" s="21"/>
    </row>
    <row r="106">
      <c r="J106" s="20"/>
      <c r="L106" s="21"/>
    </row>
    <row r="107">
      <c r="J107" s="20"/>
      <c r="L107" s="21"/>
    </row>
    <row r="108">
      <c r="J108" s="20"/>
      <c r="L108" s="21"/>
    </row>
    <row r="109">
      <c r="J109" s="20"/>
      <c r="L109" s="21"/>
    </row>
    <row r="110">
      <c r="J110" s="20"/>
      <c r="L110" s="21"/>
    </row>
    <row r="111">
      <c r="J111" s="20"/>
      <c r="L111" s="21"/>
    </row>
    <row r="112">
      <c r="J112" s="20"/>
      <c r="L112" s="21"/>
    </row>
    <row r="113">
      <c r="J113" s="20"/>
      <c r="L113" s="21"/>
    </row>
    <row r="114">
      <c r="J114" s="20"/>
      <c r="L114" s="21"/>
    </row>
    <row r="115">
      <c r="J115" s="20"/>
      <c r="L115" s="21"/>
    </row>
    <row r="116">
      <c r="J116" s="20"/>
      <c r="L116" s="21"/>
    </row>
    <row r="117">
      <c r="J117" s="20"/>
      <c r="L117" s="21"/>
    </row>
    <row r="118">
      <c r="J118" s="20"/>
      <c r="L118" s="21"/>
    </row>
    <row r="119">
      <c r="J119" s="20"/>
      <c r="L119" s="21"/>
    </row>
    <row r="120">
      <c r="J120" s="20"/>
      <c r="L120" s="21"/>
    </row>
    <row r="121">
      <c r="J121" s="20"/>
      <c r="L121" s="21"/>
    </row>
    <row r="122">
      <c r="J122" s="20"/>
      <c r="L122" s="21"/>
    </row>
    <row r="123">
      <c r="J123" s="20"/>
      <c r="L123" s="21"/>
    </row>
    <row r="124">
      <c r="J124" s="20"/>
      <c r="L124" s="21"/>
    </row>
    <row r="125">
      <c r="J125" s="20"/>
      <c r="L125" s="21"/>
    </row>
    <row r="126">
      <c r="J126" s="20"/>
      <c r="L126" s="21"/>
    </row>
    <row r="127">
      <c r="J127" s="20"/>
      <c r="L127" s="21"/>
    </row>
    <row r="128">
      <c r="J128" s="20"/>
      <c r="L128" s="21"/>
    </row>
    <row r="129">
      <c r="J129" s="20"/>
      <c r="L129" s="21"/>
    </row>
    <row r="130">
      <c r="J130" s="20"/>
      <c r="L130" s="21"/>
    </row>
    <row r="131">
      <c r="J131" s="20"/>
      <c r="L131" s="21"/>
    </row>
    <row r="132">
      <c r="J132" s="20"/>
      <c r="L132" s="21"/>
    </row>
    <row r="133">
      <c r="J133" s="20"/>
      <c r="L133" s="21"/>
    </row>
    <row r="134">
      <c r="J134" s="20"/>
      <c r="L134" s="21"/>
    </row>
    <row r="135">
      <c r="J135" s="20"/>
      <c r="L135" s="21"/>
    </row>
    <row r="136">
      <c r="J136" s="20"/>
      <c r="L136" s="21"/>
    </row>
    <row r="137">
      <c r="J137" s="20"/>
      <c r="L137" s="21"/>
    </row>
    <row r="138">
      <c r="J138" s="20"/>
      <c r="L138" s="21"/>
    </row>
    <row r="139">
      <c r="J139" s="20"/>
      <c r="L139" s="21"/>
    </row>
    <row r="140">
      <c r="J140" s="20"/>
      <c r="L140" s="21"/>
    </row>
    <row r="141">
      <c r="J141" s="20"/>
      <c r="L141" s="21"/>
    </row>
    <row r="142">
      <c r="J142" s="20"/>
      <c r="L142" s="21"/>
    </row>
    <row r="143">
      <c r="J143" s="20"/>
      <c r="L143" s="21"/>
    </row>
    <row r="144">
      <c r="J144" s="20"/>
      <c r="L144" s="21"/>
    </row>
    <row r="145">
      <c r="J145" s="20"/>
      <c r="L145" s="21"/>
    </row>
    <row r="146">
      <c r="J146" s="20"/>
      <c r="L146" s="21"/>
    </row>
    <row r="147">
      <c r="J147" s="20"/>
      <c r="L147" s="21"/>
    </row>
    <row r="148">
      <c r="J148" s="20"/>
      <c r="L148" s="21"/>
    </row>
    <row r="149">
      <c r="J149" s="20"/>
      <c r="L149" s="21"/>
    </row>
    <row r="150">
      <c r="J150" s="20"/>
      <c r="L150" s="21"/>
    </row>
    <row r="151">
      <c r="J151" s="20"/>
      <c r="L151" s="21"/>
    </row>
    <row r="152">
      <c r="J152" s="20"/>
      <c r="L152" s="21"/>
    </row>
    <row r="153">
      <c r="J153" s="20"/>
      <c r="L153" s="21"/>
    </row>
    <row r="154">
      <c r="J154" s="20"/>
      <c r="L154" s="21"/>
    </row>
    <row r="155">
      <c r="J155" s="20"/>
      <c r="L155" s="21"/>
    </row>
    <row r="156">
      <c r="J156" s="20"/>
      <c r="L156" s="21"/>
    </row>
    <row r="157">
      <c r="J157" s="20"/>
      <c r="L157" s="21"/>
    </row>
    <row r="158">
      <c r="J158" s="20"/>
      <c r="L158" s="21"/>
    </row>
    <row r="159">
      <c r="J159" s="20"/>
      <c r="L159" s="21"/>
    </row>
    <row r="160">
      <c r="J160" s="20"/>
      <c r="L160" s="21"/>
    </row>
    <row r="161">
      <c r="J161" s="20"/>
      <c r="L161" s="21"/>
    </row>
    <row r="162">
      <c r="J162" s="20"/>
      <c r="L162" s="21"/>
    </row>
    <row r="163">
      <c r="J163" s="20"/>
      <c r="L163" s="21"/>
    </row>
    <row r="164">
      <c r="J164" s="20"/>
      <c r="L164" s="21"/>
    </row>
    <row r="165">
      <c r="J165" s="20"/>
      <c r="L165" s="21"/>
    </row>
    <row r="166">
      <c r="J166" s="20"/>
      <c r="L166" s="21"/>
    </row>
    <row r="167">
      <c r="J167" s="20"/>
      <c r="L167" s="21"/>
    </row>
    <row r="168">
      <c r="J168" s="20"/>
      <c r="L168" s="21"/>
    </row>
    <row r="169">
      <c r="J169" s="20"/>
      <c r="L169" s="21"/>
    </row>
    <row r="170">
      <c r="J170" s="20"/>
      <c r="L170" s="21"/>
    </row>
    <row r="171">
      <c r="J171" s="20"/>
      <c r="L171" s="21"/>
    </row>
    <row r="172">
      <c r="J172" s="20"/>
      <c r="L172" s="21"/>
    </row>
    <row r="173">
      <c r="J173" s="20"/>
      <c r="L173" s="21"/>
    </row>
    <row r="174">
      <c r="J174" s="20"/>
      <c r="L174" s="21"/>
    </row>
    <row r="175">
      <c r="J175" s="20"/>
      <c r="L175" s="21"/>
    </row>
    <row r="176">
      <c r="J176" s="20"/>
      <c r="L176" s="21"/>
    </row>
    <row r="177">
      <c r="J177" s="20"/>
      <c r="L177" s="21"/>
    </row>
    <row r="178">
      <c r="J178" s="20"/>
      <c r="L178" s="21"/>
    </row>
    <row r="179">
      <c r="J179" s="20"/>
      <c r="L179" s="21"/>
    </row>
    <row r="180">
      <c r="J180" s="20"/>
      <c r="L180" s="21"/>
    </row>
    <row r="181">
      <c r="J181" s="20"/>
      <c r="L181" s="21"/>
    </row>
    <row r="182">
      <c r="J182" s="20"/>
      <c r="L182" s="21"/>
    </row>
    <row r="183">
      <c r="J183" s="20"/>
      <c r="L183" s="21"/>
    </row>
    <row r="184">
      <c r="J184" s="20"/>
      <c r="L184" s="21"/>
    </row>
    <row r="185">
      <c r="J185" s="20"/>
      <c r="L185" s="21"/>
    </row>
    <row r="186">
      <c r="J186" s="20"/>
      <c r="L186" s="21"/>
    </row>
    <row r="187">
      <c r="J187" s="20"/>
      <c r="L187" s="21"/>
    </row>
    <row r="188">
      <c r="J188" s="20"/>
      <c r="L188" s="21"/>
    </row>
    <row r="189">
      <c r="J189" s="20"/>
      <c r="L189" s="21"/>
    </row>
    <row r="190">
      <c r="J190" s="20"/>
      <c r="L190" s="21"/>
    </row>
    <row r="191">
      <c r="J191" s="20"/>
      <c r="L191" s="21"/>
    </row>
    <row r="192">
      <c r="J192" s="20"/>
      <c r="L192" s="21"/>
    </row>
    <row r="193">
      <c r="J193" s="20"/>
      <c r="L193" s="21"/>
    </row>
    <row r="194">
      <c r="J194" s="20"/>
      <c r="L194" s="21"/>
    </row>
    <row r="195">
      <c r="J195" s="20"/>
      <c r="L195" s="21"/>
    </row>
    <row r="196">
      <c r="J196" s="20"/>
      <c r="L196" s="21"/>
    </row>
    <row r="197">
      <c r="J197" s="20"/>
      <c r="L197" s="21"/>
    </row>
    <row r="198">
      <c r="J198" s="20"/>
      <c r="L198" s="21"/>
    </row>
    <row r="199">
      <c r="J199" s="20"/>
      <c r="L199" s="21"/>
    </row>
    <row r="200">
      <c r="J200" s="20"/>
      <c r="L200" s="21"/>
    </row>
    <row r="201">
      <c r="J201" s="20"/>
      <c r="L201" s="21"/>
    </row>
    <row r="202">
      <c r="J202" s="20"/>
      <c r="L202" s="21"/>
    </row>
    <row r="203">
      <c r="J203" s="20"/>
      <c r="L203" s="21"/>
    </row>
    <row r="204">
      <c r="J204" s="20"/>
      <c r="L204" s="21"/>
    </row>
    <row r="205">
      <c r="J205" s="20"/>
      <c r="L205" s="21"/>
    </row>
    <row r="206">
      <c r="J206" s="20"/>
      <c r="L206" s="21"/>
    </row>
    <row r="207">
      <c r="J207" s="20"/>
      <c r="L207" s="21"/>
    </row>
    <row r="208">
      <c r="J208" s="20"/>
      <c r="L208" s="21"/>
    </row>
    <row r="209">
      <c r="J209" s="20"/>
      <c r="L209" s="21"/>
    </row>
    <row r="210">
      <c r="J210" s="20"/>
      <c r="L210" s="21"/>
    </row>
    <row r="211">
      <c r="J211" s="20"/>
      <c r="L211" s="21"/>
    </row>
    <row r="212">
      <c r="J212" s="20"/>
      <c r="L212" s="21"/>
    </row>
    <row r="213">
      <c r="J213" s="20"/>
      <c r="L213" s="21"/>
    </row>
    <row r="214">
      <c r="J214" s="20"/>
      <c r="L214" s="21"/>
    </row>
    <row r="215">
      <c r="J215" s="20"/>
      <c r="L215" s="21"/>
    </row>
    <row r="216">
      <c r="J216" s="20"/>
      <c r="L216" s="21"/>
    </row>
    <row r="217">
      <c r="J217" s="20"/>
      <c r="L217" s="21"/>
    </row>
    <row r="218">
      <c r="J218" s="20"/>
      <c r="L218" s="21"/>
    </row>
    <row r="219">
      <c r="J219" s="20"/>
      <c r="L219" s="21"/>
    </row>
    <row r="220">
      <c r="J220" s="20"/>
      <c r="L220" s="21"/>
    </row>
    <row r="221">
      <c r="J221" s="20"/>
      <c r="L221" s="21"/>
    </row>
    <row r="222">
      <c r="J222" s="20"/>
      <c r="L222" s="21"/>
    </row>
    <row r="223">
      <c r="J223" s="20"/>
      <c r="L223" s="21"/>
    </row>
    <row r="224">
      <c r="J224" s="20"/>
      <c r="L224" s="21"/>
    </row>
    <row r="225">
      <c r="J225" s="20"/>
      <c r="L225" s="21"/>
    </row>
    <row r="226">
      <c r="J226" s="20"/>
      <c r="L226" s="21"/>
    </row>
    <row r="227">
      <c r="J227" s="20"/>
      <c r="L227" s="21"/>
    </row>
    <row r="228">
      <c r="J228" s="20"/>
      <c r="L228" s="21"/>
    </row>
    <row r="229">
      <c r="J229" s="20"/>
      <c r="L229" s="21"/>
    </row>
    <row r="230">
      <c r="J230" s="20"/>
      <c r="L230" s="21"/>
    </row>
    <row r="231">
      <c r="J231" s="20"/>
      <c r="L231" s="21"/>
    </row>
    <row r="232">
      <c r="J232" s="20"/>
      <c r="L232" s="21"/>
    </row>
    <row r="233">
      <c r="J233" s="20"/>
      <c r="L233" s="21"/>
    </row>
    <row r="234">
      <c r="J234" s="20"/>
      <c r="L234" s="21"/>
    </row>
    <row r="235">
      <c r="J235" s="20"/>
      <c r="L235" s="21"/>
    </row>
    <row r="236">
      <c r="J236" s="20"/>
      <c r="L236" s="21"/>
    </row>
    <row r="237">
      <c r="J237" s="20"/>
      <c r="L237" s="21"/>
    </row>
    <row r="238">
      <c r="J238" s="20"/>
      <c r="L238" s="21"/>
    </row>
    <row r="239">
      <c r="J239" s="20"/>
      <c r="L239" s="21"/>
    </row>
    <row r="240">
      <c r="J240" s="20"/>
      <c r="L240" s="21"/>
    </row>
    <row r="241">
      <c r="J241" s="20"/>
      <c r="L241" s="21"/>
    </row>
    <row r="242">
      <c r="J242" s="20"/>
      <c r="L242" s="21"/>
    </row>
    <row r="243">
      <c r="J243" s="20"/>
      <c r="L243" s="21"/>
    </row>
    <row r="244">
      <c r="J244" s="20"/>
      <c r="L244" s="21"/>
    </row>
    <row r="245">
      <c r="J245" s="20"/>
      <c r="L245" s="21"/>
    </row>
    <row r="246">
      <c r="J246" s="20"/>
      <c r="L246" s="21"/>
    </row>
    <row r="247">
      <c r="J247" s="20"/>
      <c r="L247" s="21"/>
    </row>
    <row r="248">
      <c r="J248" s="20"/>
      <c r="L248" s="21"/>
    </row>
    <row r="249">
      <c r="J249" s="20"/>
      <c r="L249" s="21"/>
    </row>
    <row r="250">
      <c r="J250" s="20"/>
      <c r="L250" s="21"/>
    </row>
    <row r="251">
      <c r="J251" s="20"/>
      <c r="L251" s="21"/>
    </row>
    <row r="252">
      <c r="J252" s="20"/>
      <c r="L252" s="21"/>
    </row>
    <row r="253">
      <c r="J253" s="20"/>
      <c r="L253" s="21"/>
    </row>
    <row r="254">
      <c r="J254" s="20"/>
      <c r="L254" s="21"/>
    </row>
    <row r="255">
      <c r="J255" s="20"/>
      <c r="L255" s="21"/>
    </row>
    <row r="256">
      <c r="J256" s="20"/>
      <c r="L256" s="21"/>
    </row>
    <row r="257">
      <c r="J257" s="20"/>
      <c r="L257" s="21"/>
    </row>
    <row r="258">
      <c r="J258" s="20"/>
      <c r="L258" s="21"/>
    </row>
    <row r="259">
      <c r="J259" s="20"/>
      <c r="L259" s="21"/>
    </row>
    <row r="260">
      <c r="J260" s="20"/>
      <c r="L260" s="21"/>
    </row>
    <row r="261">
      <c r="J261" s="20"/>
      <c r="L261" s="21"/>
    </row>
    <row r="262">
      <c r="J262" s="20"/>
      <c r="L262" s="21"/>
    </row>
    <row r="263">
      <c r="J263" s="20"/>
      <c r="L263" s="21"/>
    </row>
    <row r="264">
      <c r="J264" s="20"/>
      <c r="L264" s="21"/>
    </row>
    <row r="265">
      <c r="J265" s="20"/>
      <c r="L265" s="21"/>
    </row>
    <row r="266">
      <c r="J266" s="20"/>
      <c r="L266" s="21"/>
    </row>
    <row r="267">
      <c r="J267" s="20"/>
      <c r="L267" s="21"/>
    </row>
    <row r="268">
      <c r="J268" s="20"/>
      <c r="L268" s="21"/>
    </row>
    <row r="269">
      <c r="J269" s="20"/>
      <c r="L269" s="21"/>
    </row>
    <row r="270">
      <c r="J270" s="20"/>
      <c r="L270" s="21"/>
    </row>
    <row r="271">
      <c r="J271" s="20"/>
      <c r="L271" s="21"/>
    </row>
    <row r="272">
      <c r="J272" s="20"/>
      <c r="L272" s="21"/>
    </row>
    <row r="273">
      <c r="J273" s="20"/>
      <c r="L273" s="21"/>
    </row>
    <row r="274">
      <c r="J274" s="20"/>
      <c r="L274" s="21"/>
    </row>
    <row r="275">
      <c r="J275" s="20"/>
      <c r="L275" s="21"/>
    </row>
    <row r="276">
      <c r="J276" s="20"/>
      <c r="L276" s="21"/>
    </row>
    <row r="277">
      <c r="J277" s="20"/>
      <c r="L277" s="21"/>
    </row>
    <row r="278">
      <c r="J278" s="20"/>
      <c r="L278" s="21"/>
    </row>
    <row r="279">
      <c r="J279" s="20"/>
      <c r="L279" s="21"/>
    </row>
    <row r="280">
      <c r="J280" s="20"/>
      <c r="L280" s="21"/>
    </row>
    <row r="281">
      <c r="J281" s="20"/>
      <c r="L281" s="21"/>
    </row>
    <row r="282">
      <c r="J282" s="20"/>
      <c r="L282" s="21"/>
    </row>
    <row r="283">
      <c r="J283" s="20"/>
      <c r="L283" s="21"/>
    </row>
    <row r="284">
      <c r="J284" s="20"/>
      <c r="L284" s="21"/>
    </row>
    <row r="285">
      <c r="J285" s="20"/>
      <c r="L285" s="21"/>
    </row>
    <row r="286">
      <c r="J286" s="20"/>
      <c r="L286" s="21"/>
    </row>
    <row r="287">
      <c r="J287" s="20"/>
      <c r="L287" s="21"/>
    </row>
    <row r="288">
      <c r="J288" s="20"/>
      <c r="L288" s="21"/>
    </row>
    <row r="289">
      <c r="J289" s="20"/>
      <c r="L289" s="21"/>
    </row>
    <row r="290">
      <c r="J290" s="20"/>
      <c r="L290" s="21"/>
    </row>
    <row r="291">
      <c r="J291" s="20"/>
      <c r="L291" s="21"/>
    </row>
    <row r="292">
      <c r="J292" s="20"/>
      <c r="L292" s="21"/>
    </row>
    <row r="293">
      <c r="J293" s="20"/>
      <c r="L293" s="21"/>
    </row>
    <row r="294">
      <c r="J294" s="20"/>
      <c r="L294" s="21"/>
    </row>
    <row r="295">
      <c r="J295" s="20"/>
      <c r="L295" s="21"/>
    </row>
    <row r="296">
      <c r="J296" s="20"/>
      <c r="L296" s="21"/>
    </row>
    <row r="297">
      <c r="J297" s="20"/>
      <c r="L297" s="21"/>
    </row>
    <row r="298">
      <c r="J298" s="20"/>
      <c r="L298" s="21"/>
    </row>
    <row r="299">
      <c r="J299" s="20"/>
      <c r="L299" s="21"/>
    </row>
    <row r="300">
      <c r="J300" s="20"/>
      <c r="L300" s="21"/>
    </row>
    <row r="301">
      <c r="J301" s="20"/>
      <c r="L301" s="21"/>
    </row>
    <row r="302">
      <c r="J302" s="20"/>
      <c r="L302" s="21"/>
    </row>
    <row r="303">
      <c r="J303" s="20"/>
      <c r="L303" s="21"/>
    </row>
    <row r="304">
      <c r="J304" s="20"/>
      <c r="L304" s="21"/>
    </row>
    <row r="305">
      <c r="J305" s="20"/>
      <c r="L305" s="21"/>
    </row>
    <row r="306">
      <c r="J306" s="20"/>
      <c r="L306" s="21"/>
    </row>
    <row r="307">
      <c r="J307" s="20"/>
      <c r="L307" s="21"/>
    </row>
    <row r="308">
      <c r="J308" s="20"/>
      <c r="L308" s="21"/>
    </row>
    <row r="309">
      <c r="J309" s="20"/>
      <c r="L309" s="21"/>
    </row>
    <row r="310">
      <c r="J310" s="20"/>
      <c r="L310" s="21"/>
    </row>
    <row r="311">
      <c r="J311" s="20"/>
      <c r="L311" s="21"/>
    </row>
    <row r="312">
      <c r="J312" s="20"/>
      <c r="L312" s="21"/>
    </row>
    <row r="313">
      <c r="J313" s="20"/>
      <c r="L313" s="21"/>
    </row>
    <row r="314">
      <c r="J314" s="20"/>
      <c r="L314" s="21"/>
    </row>
    <row r="315">
      <c r="J315" s="20"/>
      <c r="L315" s="21"/>
    </row>
    <row r="316">
      <c r="J316" s="20"/>
      <c r="L316" s="21"/>
    </row>
    <row r="317">
      <c r="J317" s="20"/>
      <c r="L317" s="21"/>
    </row>
    <row r="318">
      <c r="J318" s="20"/>
      <c r="L318" s="21"/>
    </row>
    <row r="319">
      <c r="J319" s="20"/>
      <c r="L319" s="21"/>
    </row>
    <row r="320">
      <c r="J320" s="20"/>
      <c r="L320" s="21"/>
    </row>
    <row r="321">
      <c r="J321" s="20"/>
      <c r="L321" s="21"/>
    </row>
    <row r="322">
      <c r="J322" s="20"/>
      <c r="L322" s="21"/>
    </row>
    <row r="323">
      <c r="J323" s="20"/>
      <c r="L323" s="21"/>
    </row>
    <row r="324">
      <c r="J324" s="20"/>
      <c r="L324" s="21"/>
    </row>
    <row r="325">
      <c r="J325" s="20"/>
      <c r="L325" s="21"/>
    </row>
    <row r="326">
      <c r="J326" s="20"/>
      <c r="L326" s="21"/>
    </row>
    <row r="327">
      <c r="J327" s="20"/>
      <c r="L327" s="21"/>
    </row>
    <row r="328">
      <c r="J328" s="20"/>
      <c r="L328" s="21"/>
    </row>
    <row r="329">
      <c r="J329" s="20"/>
      <c r="L329" s="21"/>
    </row>
    <row r="330">
      <c r="J330" s="20"/>
      <c r="L330" s="21"/>
    </row>
    <row r="331">
      <c r="J331" s="20"/>
      <c r="L331" s="21"/>
    </row>
    <row r="332">
      <c r="J332" s="20"/>
      <c r="L332" s="21"/>
    </row>
    <row r="333">
      <c r="J333" s="20"/>
      <c r="L333" s="21"/>
    </row>
    <row r="334">
      <c r="J334" s="20"/>
      <c r="L334" s="21"/>
    </row>
    <row r="335">
      <c r="J335" s="20"/>
      <c r="L335" s="21"/>
    </row>
    <row r="336">
      <c r="J336" s="20"/>
      <c r="L336" s="21"/>
    </row>
    <row r="337">
      <c r="J337" s="20"/>
      <c r="L337" s="21"/>
    </row>
    <row r="338">
      <c r="J338" s="20"/>
      <c r="L338" s="21"/>
    </row>
    <row r="339">
      <c r="J339" s="20"/>
      <c r="L339" s="21"/>
    </row>
    <row r="340">
      <c r="J340" s="20"/>
      <c r="L340" s="21"/>
    </row>
    <row r="341">
      <c r="J341" s="20"/>
      <c r="L341" s="21"/>
    </row>
    <row r="342">
      <c r="J342" s="20"/>
      <c r="L342" s="21"/>
    </row>
    <row r="343">
      <c r="J343" s="20"/>
      <c r="L343" s="21"/>
    </row>
    <row r="344">
      <c r="J344" s="20"/>
      <c r="L344" s="21"/>
    </row>
    <row r="345">
      <c r="J345" s="20"/>
      <c r="L345" s="21"/>
    </row>
    <row r="346">
      <c r="J346" s="20"/>
      <c r="L346" s="21"/>
    </row>
    <row r="347">
      <c r="J347" s="20"/>
      <c r="L347" s="21"/>
    </row>
    <row r="348">
      <c r="J348" s="20"/>
      <c r="L348" s="21"/>
    </row>
    <row r="349">
      <c r="J349" s="20"/>
      <c r="L349" s="21"/>
    </row>
    <row r="350">
      <c r="J350" s="20"/>
      <c r="L350" s="21"/>
    </row>
    <row r="351">
      <c r="J351" s="20"/>
      <c r="L351" s="21"/>
    </row>
    <row r="352">
      <c r="J352" s="20"/>
      <c r="L352" s="21"/>
    </row>
    <row r="353">
      <c r="J353" s="20"/>
      <c r="L353" s="21"/>
    </row>
    <row r="354">
      <c r="J354" s="20"/>
      <c r="L354" s="21"/>
    </row>
    <row r="355">
      <c r="J355" s="20"/>
      <c r="L355" s="21"/>
    </row>
    <row r="356">
      <c r="J356" s="20"/>
      <c r="L356" s="21"/>
    </row>
    <row r="357">
      <c r="J357" s="20"/>
      <c r="L357" s="21"/>
    </row>
    <row r="358">
      <c r="J358" s="20"/>
      <c r="L358" s="21"/>
    </row>
    <row r="359">
      <c r="J359" s="20"/>
      <c r="L359" s="21"/>
    </row>
    <row r="360">
      <c r="J360" s="20"/>
      <c r="L360" s="21"/>
    </row>
    <row r="361">
      <c r="J361" s="20"/>
      <c r="L361" s="21"/>
    </row>
    <row r="362">
      <c r="J362" s="20"/>
      <c r="L362" s="21"/>
    </row>
    <row r="363">
      <c r="J363" s="20"/>
      <c r="L363" s="21"/>
    </row>
    <row r="364">
      <c r="J364" s="20"/>
      <c r="L364" s="21"/>
    </row>
    <row r="365">
      <c r="J365" s="20"/>
      <c r="L365" s="21"/>
    </row>
    <row r="366">
      <c r="J366" s="20"/>
      <c r="L366" s="21"/>
    </row>
    <row r="367">
      <c r="J367" s="20"/>
      <c r="L367" s="21"/>
    </row>
    <row r="368">
      <c r="J368" s="20"/>
      <c r="L368" s="21"/>
    </row>
    <row r="369">
      <c r="J369" s="20"/>
      <c r="L369" s="21"/>
    </row>
    <row r="370">
      <c r="J370" s="20"/>
      <c r="L370" s="21"/>
    </row>
    <row r="371">
      <c r="J371" s="20"/>
      <c r="L371" s="21"/>
    </row>
    <row r="372">
      <c r="J372" s="20"/>
      <c r="L372" s="21"/>
    </row>
    <row r="373">
      <c r="J373" s="20"/>
      <c r="L373" s="21"/>
    </row>
    <row r="374">
      <c r="J374" s="20"/>
      <c r="L374" s="21"/>
    </row>
    <row r="375">
      <c r="J375" s="20"/>
      <c r="L375" s="21"/>
    </row>
    <row r="376">
      <c r="J376" s="20"/>
      <c r="L376" s="21"/>
    </row>
    <row r="377">
      <c r="J377" s="20"/>
      <c r="L377" s="21"/>
    </row>
    <row r="378">
      <c r="J378" s="20"/>
      <c r="L378" s="21"/>
    </row>
    <row r="379">
      <c r="J379" s="20"/>
      <c r="L379" s="21"/>
    </row>
    <row r="380">
      <c r="J380" s="20"/>
      <c r="L380" s="21"/>
    </row>
    <row r="381">
      <c r="J381" s="20"/>
      <c r="L381" s="21"/>
    </row>
    <row r="382">
      <c r="J382" s="20"/>
      <c r="L382" s="21"/>
    </row>
    <row r="383">
      <c r="J383" s="20"/>
      <c r="L383" s="21"/>
    </row>
    <row r="384">
      <c r="J384" s="20"/>
      <c r="L384" s="21"/>
    </row>
    <row r="385">
      <c r="J385" s="20"/>
      <c r="L385" s="21"/>
    </row>
    <row r="386">
      <c r="J386" s="20"/>
      <c r="L386" s="21"/>
    </row>
    <row r="387">
      <c r="J387" s="20"/>
      <c r="L387" s="21"/>
    </row>
    <row r="388">
      <c r="J388" s="20"/>
      <c r="L388" s="21"/>
    </row>
    <row r="389">
      <c r="J389" s="20"/>
      <c r="L389" s="21"/>
    </row>
    <row r="390">
      <c r="J390" s="20"/>
      <c r="L390" s="21"/>
    </row>
    <row r="391">
      <c r="J391" s="20"/>
      <c r="L391" s="21"/>
    </row>
    <row r="392">
      <c r="J392" s="20"/>
      <c r="L392" s="21"/>
    </row>
    <row r="393">
      <c r="J393" s="20"/>
      <c r="L393" s="21"/>
    </row>
    <row r="394">
      <c r="J394" s="20"/>
      <c r="L394" s="21"/>
    </row>
    <row r="395">
      <c r="J395" s="20"/>
      <c r="L395" s="21"/>
    </row>
    <row r="396">
      <c r="J396" s="20"/>
      <c r="L396" s="21"/>
    </row>
    <row r="397">
      <c r="J397" s="20"/>
      <c r="L397" s="21"/>
    </row>
    <row r="398">
      <c r="J398" s="20"/>
      <c r="L398" s="21"/>
    </row>
    <row r="399">
      <c r="J399" s="20"/>
      <c r="L399" s="21"/>
    </row>
    <row r="400">
      <c r="J400" s="20"/>
      <c r="L400" s="21"/>
    </row>
    <row r="401">
      <c r="J401" s="20"/>
      <c r="L401" s="21"/>
    </row>
    <row r="402">
      <c r="J402" s="20"/>
      <c r="L402" s="21"/>
    </row>
    <row r="403">
      <c r="J403" s="20"/>
      <c r="L403" s="21"/>
    </row>
    <row r="404">
      <c r="J404" s="20"/>
      <c r="L404" s="21"/>
    </row>
    <row r="405">
      <c r="J405" s="20"/>
      <c r="L405" s="21"/>
    </row>
    <row r="406">
      <c r="J406" s="20"/>
      <c r="L406" s="21"/>
    </row>
    <row r="407">
      <c r="J407" s="20"/>
      <c r="L407" s="21"/>
    </row>
    <row r="408">
      <c r="J408" s="20"/>
      <c r="L408" s="21"/>
    </row>
    <row r="409">
      <c r="J409" s="20"/>
      <c r="L409" s="21"/>
    </row>
    <row r="410">
      <c r="J410" s="20"/>
      <c r="L410" s="21"/>
    </row>
    <row r="411">
      <c r="J411" s="20"/>
      <c r="L411" s="21"/>
    </row>
    <row r="412">
      <c r="J412" s="20"/>
      <c r="L412" s="21"/>
    </row>
    <row r="413">
      <c r="J413" s="20"/>
      <c r="L413" s="21"/>
    </row>
    <row r="414">
      <c r="J414" s="20"/>
      <c r="L414" s="21"/>
    </row>
    <row r="415">
      <c r="J415" s="20"/>
      <c r="L415" s="21"/>
    </row>
    <row r="416">
      <c r="J416" s="20"/>
      <c r="L416" s="21"/>
    </row>
    <row r="417">
      <c r="J417" s="20"/>
      <c r="L417" s="21"/>
    </row>
    <row r="418">
      <c r="J418" s="20"/>
      <c r="L418" s="21"/>
    </row>
    <row r="419">
      <c r="J419" s="20"/>
      <c r="L419" s="21"/>
    </row>
    <row r="420">
      <c r="J420" s="20"/>
      <c r="L420" s="21"/>
    </row>
    <row r="421">
      <c r="J421" s="20"/>
      <c r="L421" s="21"/>
    </row>
    <row r="422">
      <c r="J422" s="20"/>
      <c r="L422" s="21"/>
    </row>
    <row r="423">
      <c r="J423" s="20"/>
      <c r="L423" s="21"/>
    </row>
    <row r="424">
      <c r="J424" s="20"/>
      <c r="L424" s="21"/>
    </row>
    <row r="425">
      <c r="J425" s="20"/>
      <c r="L425" s="21"/>
    </row>
    <row r="426">
      <c r="J426" s="20"/>
      <c r="L426" s="21"/>
    </row>
    <row r="427">
      <c r="J427" s="20"/>
      <c r="L427" s="21"/>
    </row>
    <row r="428">
      <c r="J428" s="20"/>
      <c r="L428" s="21"/>
    </row>
    <row r="429">
      <c r="J429" s="20"/>
      <c r="L429" s="21"/>
    </row>
    <row r="430">
      <c r="J430" s="20"/>
      <c r="L430" s="21"/>
    </row>
    <row r="431">
      <c r="J431" s="20"/>
      <c r="L431" s="21"/>
    </row>
    <row r="432">
      <c r="J432" s="20"/>
      <c r="L432" s="21"/>
    </row>
    <row r="433">
      <c r="J433" s="20"/>
      <c r="L433" s="21"/>
    </row>
    <row r="434">
      <c r="J434" s="20"/>
      <c r="L434" s="21"/>
    </row>
    <row r="435">
      <c r="J435" s="20"/>
      <c r="L435" s="21"/>
    </row>
    <row r="436">
      <c r="J436" s="20"/>
      <c r="L436" s="21"/>
    </row>
    <row r="437">
      <c r="J437" s="20"/>
      <c r="L437" s="21"/>
    </row>
    <row r="438">
      <c r="J438" s="20"/>
      <c r="L438" s="21"/>
    </row>
    <row r="439">
      <c r="J439" s="20"/>
      <c r="L439" s="21"/>
    </row>
    <row r="440">
      <c r="J440" s="20"/>
      <c r="L440" s="21"/>
    </row>
    <row r="441">
      <c r="J441" s="20"/>
      <c r="L441" s="21"/>
    </row>
    <row r="442">
      <c r="J442" s="20"/>
      <c r="L442" s="21"/>
    </row>
    <row r="443">
      <c r="J443" s="20"/>
      <c r="L443" s="21"/>
    </row>
    <row r="444">
      <c r="J444" s="20"/>
      <c r="L444" s="21"/>
    </row>
    <row r="445">
      <c r="J445" s="20"/>
      <c r="L445" s="21"/>
    </row>
    <row r="446">
      <c r="J446" s="20"/>
      <c r="L446" s="21"/>
    </row>
    <row r="447">
      <c r="J447" s="20"/>
      <c r="L447" s="21"/>
    </row>
    <row r="448">
      <c r="J448" s="20"/>
      <c r="L448" s="21"/>
    </row>
    <row r="449">
      <c r="J449" s="20"/>
      <c r="L449" s="21"/>
    </row>
    <row r="450">
      <c r="J450" s="20"/>
      <c r="L450" s="21"/>
    </row>
    <row r="451">
      <c r="J451" s="20"/>
      <c r="L451" s="21"/>
    </row>
    <row r="452">
      <c r="J452" s="20"/>
      <c r="L452" s="21"/>
    </row>
    <row r="453">
      <c r="J453" s="20"/>
      <c r="L453" s="21"/>
    </row>
    <row r="454">
      <c r="J454" s="20"/>
      <c r="L454" s="21"/>
    </row>
    <row r="455">
      <c r="J455" s="20"/>
      <c r="L455" s="21"/>
    </row>
    <row r="456">
      <c r="J456" s="20"/>
      <c r="L456" s="21"/>
    </row>
    <row r="457">
      <c r="J457" s="20"/>
      <c r="L457" s="21"/>
    </row>
    <row r="458">
      <c r="J458" s="20"/>
      <c r="L458" s="21"/>
    </row>
    <row r="459">
      <c r="J459" s="20"/>
      <c r="L459" s="21"/>
    </row>
    <row r="460">
      <c r="J460" s="20"/>
      <c r="L460" s="21"/>
    </row>
    <row r="461">
      <c r="J461" s="20"/>
      <c r="L461" s="21"/>
    </row>
    <row r="462">
      <c r="J462" s="20"/>
      <c r="L462" s="21"/>
    </row>
    <row r="463">
      <c r="J463" s="20"/>
      <c r="L463" s="21"/>
    </row>
    <row r="464">
      <c r="J464" s="20"/>
      <c r="L464" s="21"/>
    </row>
    <row r="465">
      <c r="J465" s="20"/>
      <c r="L465" s="21"/>
    </row>
    <row r="466">
      <c r="J466" s="20"/>
      <c r="L466" s="21"/>
    </row>
    <row r="467">
      <c r="J467" s="20"/>
      <c r="L467" s="21"/>
    </row>
    <row r="468">
      <c r="J468" s="20"/>
      <c r="L468" s="21"/>
    </row>
    <row r="469">
      <c r="J469" s="20"/>
      <c r="L469" s="21"/>
    </row>
    <row r="470">
      <c r="J470" s="20"/>
      <c r="L470" s="21"/>
    </row>
    <row r="471">
      <c r="J471" s="20"/>
      <c r="L471" s="21"/>
    </row>
    <row r="472">
      <c r="J472" s="20"/>
      <c r="L472" s="21"/>
    </row>
    <row r="473">
      <c r="J473" s="20"/>
      <c r="L473" s="21"/>
    </row>
    <row r="474">
      <c r="J474" s="20"/>
      <c r="L474" s="21"/>
    </row>
    <row r="475">
      <c r="J475" s="20"/>
      <c r="L475" s="21"/>
    </row>
    <row r="476">
      <c r="J476" s="20"/>
      <c r="L476" s="21"/>
    </row>
    <row r="477">
      <c r="J477" s="20"/>
      <c r="L477" s="21"/>
    </row>
    <row r="478">
      <c r="J478" s="20"/>
      <c r="L478" s="21"/>
    </row>
    <row r="479">
      <c r="J479" s="20"/>
      <c r="L479" s="21"/>
    </row>
    <row r="480">
      <c r="J480" s="20"/>
      <c r="L480" s="21"/>
    </row>
    <row r="481">
      <c r="J481" s="20"/>
      <c r="L481" s="21"/>
    </row>
    <row r="482">
      <c r="J482" s="20"/>
      <c r="L482" s="21"/>
    </row>
    <row r="483">
      <c r="J483" s="20"/>
      <c r="L483" s="21"/>
    </row>
    <row r="484">
      <c r="J484" s="20"/>
      <c r="L484" s="21"/>
    </row>
    <row r="485">
      <c r="J485" s="20"/>
      <c r="L485" s="21"/>
    </row>
    <row r="486">
      <c r="J486" s="20"/>
      <c r="L486" s="21"/>
    </row>
    <row r="487">
      <c r="J487" s="20"/>
      <c r="L487" s="21"/>
    </row>
    <row r="488">
      <c r="J488" s="20"/>
      <c r="L488" s="21"/>
    </row>
    <row r="489">
      <c r="J489" s="20"/>
      <c r="L489" s="21"/>
    </row>
    <row r="490">
      <c r="J490" s="20"/>
      <c r="L490" s="21"/>
    </row>
    <row r="491">
      <c r="J491" s="20"/>
      <c r="L491" s="21"/>
    </row>
    <row r="492">
      <c r="J492" s="20"/>
      <c r="L492" s="21"/>
    </row>
    <row r="493">
      <c r="J493" s="20"/>
      <c r="L493" s="21"/>
    </row>
    <row r="494">
      <c r="J494" s="20"/>
      <c r="L494" s="21"/>
    </row>
    <row r="495">
      <c r="J495" s="20"/>
      <c r="L495" s="21"/>
    </row>
    <row r="496">
      <c r="J496" s="20"/>
      <c r="L496" s="21"/>
    </row>
    <row r="497">
      <c r="J497" s="20"/>
      <c r="L497" s="21"/>
    </row>
    <row r="498">
      <c r="J498" s="20"/>
      <c r="L498" s="21"/>
    </row>
    <row r="499">
      <c r="J499" s="20"/>
      <c r="L499" s="21"/>
    </row>
    <row r="500">
      <c r="J500" s="20"/>
      <c r="L500" s="21"/>
    </row>
    <row r="501">
      <c r="J501" s="20"/>
      <c r="L501" s="21"/>
    </row>
    <row r="502">
      <c r="J502" s="20"/>
      <c r="L502" s="21"/>
    </row>
    <row r="503">
      <c r="J503" s="20"/>
      <c r="L503" s="21"/>
    </row>
    <row r="504">
      <c r="J504" s="20"/>
      <c r="L504" s="21"/>
    </row>
    <row r="505">
      <c r="J505" s="20"/>
      <c r="L505" s="21"/>
    </row>
    <row r="506">
      <c r="J506" s="20"/>
      <c r="L506" s="21"/>
    </row>
    <row r="507">
      <c r="J507" s="20"/>
      <c r="L507" s="21"/>
    </row>
    <row r="508">
      <c r="J508" s="20"/>
      <c r="L508" s="21"/>
    </row>
    <row r="509">
      <c r="J509" s="20"/>
      <c r="L509" s="21"/>
    </row>
    <row r="510">
      <c r="J510" s="20"/>
      <c r="L510" s="21"/>
    </row>
    <row r="511">
      <c r="J511" s="20"/>
      <c r="L511" s="21"/>
    </row>
    <row r="512">
      <c r="J512" s="20"/>
      <c r="L512" s="21"/>
    </row>
    <row r="513">
      <c r="J513" s="20"/>
      <c r="L513" s="21"/>
    </row>
    <row r="514">
      <c r="J514" s="20"/>
      <c r="L514" s="21"/>
    </row>
    <row r="515">
      <c r="J515" s="20"/>
      <c r="L515" s="21"/>
    </row>
    <row r="516">
      <c r="J516" s="20"/>
      <c r="L516" s="21"/>
    </row>
    <row r="517">
      <c r="J517" s="20"/>
      <c r="L517" s="21"/>
    </row>
    <row r="518">
      <c r="J518" s="20"/>
      <c r="L518" s="21"/>
    </row>
    <row r="519">
      <c r="J519" s="20"/>
      <c r="L519" s="21"/>
    </row>
    <row r="520">
      <c r="J520" s="20"/>
      <c r="L520" s="21"/>
    </row>
    <row r="521">
      <c r="J521" s="20"/>
      <c r="L521" s="21"/>
    </row>
    <row r="522">
      <c r="J522" s="20"/>
      <c r="L522" s="21"/>
    </row>
    <row r="523">
      <c r="J523" s="20"/>
      <c r="L523" s="21"/>
    </row>
    <row r="524">
      <c r="J524" s="20"/>
      <c r="L524" s="21"/>
    </row>
    <row r="525">
      <c r="J525" s="20"/>
      <c r="L525" s="21"/>
    </row>
    <row r="526">
      <c r="J526" s="20"/>
      <c r="L526" s="21"/>
    </row>
    <row r="527">
      <c r="J527" s="20"/>
      <c r="L527" s="21"/>
    </row>
    <row r="528">
      <c r="J528" s="20"/>
      <c r="L528" s="21"/>
    </row>
    <row r="529">
      <c r="J529" s="20"/>
      <c r="L529" s="21"/>
    </row>
    <row r="530">
      <c r="J530" s="20"/>
      <c r="L530" s="21"/>
    </row>
    <row r="531">
      <c r="J531" s="20"/>
      <c r="L531" s="21"/>
    </row>
    <row r="532">
      <c r="J532" s="20"/>
      <c r="L532" s="21"/>
    </row>
    <row r="533">
      <c r="J533" s="20"/>
      <c r="L533" s="21"/>
    </row>
    <row r="534">
      <c r="J534" s="20"/>
      <c r="L534" s="21"/>
    </row>
    <row r="535">
      <c r="J535" s="20"/>
      <c r="L535" s="21"/>
    </row>
    <row r="536">
      <c r="J536" s="20"/>
      <c r="L536" s="21"/>
    </row>
    <row r="537">
      <c r="J537" s="20"/>
      <c r="L537" s="21"/>
    </row>
    <row r="538">
      <c r="J538" s="20"/>
      <c r="L538" s="21"/>
    </row>
    <row r="539">
      <c r="J539" s="20"/>
      <c r="L539" s="21"/>
    </row>
    <row r="540">
      <c r="J540" s="20"/>
      <c r="L540" s="21"/>
    </row>
    <row r="541">
      <c r="J541" s="20"/>
      <c r="L541" s="21"/>
    </row>
    <row r="542">
      <c r="J542" s="20"/>
      <c r="L542" s="21"/>
    </row>
    <row r="543">
      <c r="J543" s="20"/>
      <c r="L543" s="21"/>
    </row>
    <row r="544">
      <c r="J544" s="20"/>
      <c r="L544" s="21"/>
    </row>
    <row r="545">
      <c r="J545" s="20"/>
      <c r="L545" s="21"/>
    </row>
    <row r="546">
      <c r="J546" s="20"/>
      <c r="L546" s="21"/>
    </row>
    <row r="547">
      <c r="J547" s="20"/>
      <c r="L547" s="21"/>
    </row>
    <row r="548">
      <c r="J548" s="20"/>
      <c r="L548" s="21"/>
    </row>
    <row r="549">
      <c r="J549" s="20"/>
      <c r="L549" s="21"/>
    </row>
    <row r="550">
      <c r="J550" s="20"/>
      <c r="L550" s="21"/>
    </row>
    <row r="551">
      <c r="J551" s="20"/>
      <c r="L551" s="21"/>
    </row>
    <row r="552">
      <c r="J552" s="20"/>
      <c r="L552" s="21"/>
    </row>
    <row r="553">
      <c r="J553" s="20"/>
      <c r="L553" s="21"/>
    </row>
    <row r="554">
      <c r="J554" s="20"/>
      <c r="L554" s="21"/>
    </row>
    <row r="555">
      <c r="J555" s="20"/>
      <c r="L555" s="21"/>
    </row>
    <row r="556">
      <c r="J556" s="20"/>
      <c r="L556" s="21"/>
    </row>
    <row r="557">
      <c r="J557" s="20"/>
      <c r="L557" s="21"/>
    </row>
    <row r="558">
      <c r="J558" s="20"/>
      <c r="L558" s="21"/>
    </row>
    <row r="559">
      <c r="J559" s="20"/>
      <c r="L559" s="21"/>
    </row>
    <row r="560">
      <c r="J560" s="20"/>
      <c r="L560" s="21"/>
    </row>
    <row r="561">
      <c r="J561" s="20"/>
      <c r="L561" s="21"/>
    </row>
    <row r="562">
      <c r="J562" s="20"/>
      <c r="L562" s="21"/>
    </row>
    <row r="563">
      <c r="J563" s="20"/>
      <c r="L563" s="21"/>
    </row>
    <row r="564">
      <c r="J564" s="20"/>
      <c r="L564" s="21"/>
    </row>
    <row r="565">
      <c r="J565" s="20"/>
      <c r="L565" s="21"/>
    </row>
    <row r="566">
      <c r="J566" s="20"/>
      <c r="L566" s="21"/>
    </row>
    <row r="567">
      <c r="J567" s="20"/>
      <c r="L567" s="21"/>
    </row>
    <row r="568">
      <c r="J568" s="20"/>
      <c r="L568" s="21"/>
    </row>
    <row r="569">
      <c r="J569" s="20"/>
      <c r="L569" s="21"/>
    </row>
    <row r="570">
      <c r="J570" s="20"/>
      <c r="L570" s="21"/>
    </row>
    <row r="571">
      <c r="J571" s="20"/>
      <c r="L571" s="21"/>
    </row>
    <row r="572">
      <c r="J572" s="20"/>
      <c r="L572" s="21"/>
    </row>
    <row r="573">
      <c r="J573" s="20"/>
      <c r="L573" s="21"/>
    </row>
    <row r="574">
      <c r="J574" s="20"/>
      <c r="L574" s="21"/>
    </row>
    <row r="575">
      <c r="J575" s="20"/>
      <c r="L575" s="21"/>
    </row>
    <row r="576">
      <c r="J576" s="20"/>
      <c r="L576" s="21"/>
    </row>
    <row r="577">
      <c r="J577" s="20"/>
      <c r="L577" s="21"/>
    </row>
    <row r="578">
      <c r="J578" s="20"/>
      <c r="L578" s="21"/>
    </row>
    <row r="579">
      <c r="J579" s="20"/>
      <c r="L579" s="21"/>
    </row>
    <row r="580">
      <c r="J580" s="20"/>
      <c r="L580" s="21"/>
    </row>
    <row r="581">
      <c r="J581" s="20"/>
      <c r="L581" s="21"/>
    </row>
    <row r="582">
      <c r="J582" s="20"/>
      <c r="L582" s="21"/>
    </row>
    <row r="583">
      <c r="J583" s="20"/>
      <c r="L583" s="21"/>
    </row>
    <row r="584">
      <c r="J584" s="20"/>
      <c r="L584" s="21"/>
    </row>
    <row r="585">
      <c r="J585" s="20"/>
      <c r="L585" s="21"/>
    </row>
    <row r="586">
      <c r="J586" s="20"/>
      <c r="L586" s="21"/>
    </row>
    <row r="587">
      <c r="J587" s="20"/>
      <c r="L587" s="21"/>
    </row>
    <row r="588">
      <c r="J588" s="20"/>
      <c r="L588" s="21"/>
    </row>
    <row r="589">
      <c r="J589" s="20"/>
      <c r="L589" s="21"/>
    </row>
    <row r="590">
      <c r="J590" s="20"/>
      <c r="L590" s="21"/>
    </row>
    <row r="591">
      <c r="J591" s="20"/>
      <c r="L591" s="21"/>
    </row>
    <row r="592">
      <c r="J592" s="20"/>
      <c r="L592" s="21"/>
    </row>
    <row r="593">
      <c r="J593" s="20"/>
      <c r="L593" s="21"/>
    </row>
    <row r="594">
      <c r="J594" s="20"/>
      <c r="L594" s="21"/>
    </row>
    <row r="595">
      <c r="J595" s="20"/>
      <c r="L595" s="21"/>
    </row>
    <row r="596">
      <c r="J596" s="20"/>
      <c r="L596" s="21"/>
    </row>
    <row r="597">
      <c r="J597" s="20"/>
      <c r="L597" s="21"/>
    </row>
    <row r="598">
      <c r="J598" s="20"/>
      <c r="L598" s="21"/>
    </row>
    <row r="599">
      <c r="J599" s="20"/>
      <c r="L599" s="21"/>
    </row>
    <row r="600">
      <c r="J600" s="20"/>
      <c r="L600" s="21"/>
    </row>
    <row r="601">
      <c r="J601" s="20"/>
      <c r="L601" s="21"/>
    </row>
    <row r="602">
      <c r="J602" s="20"/>
      <c r="L602" s="21"/>
    </row>
    <row r="603">
      <c r="J603" s="20"/>
      <c r="L603" s="21"/>
    </row>
    <row r="604">
      <c r="J604" s="20"/>
      <c r="L604" s="21"/>
    </row>
    <row r="605">
      <c r="J605" s="20"/>
      <c r="L605" s="21"/>
    </row>
    <row r="606">
      <c r="J606" s="20"/>
      <c r="L606" s="21"/>
    </row>
    <row r="607">
      <c r="J607" s="20"/>
      <c r="L607" s="21"/>
    </row>
    <row r="608">
      <c r="J608" s="20"/>
      <c r="L608" s="21"/>
    </row>
    <row r="609">
      <c r="J609" s="20"/>
      <c r="L609" s="21"/>
    </row>
    <row r="610">
      <c r="J610" s="20"/>
      <c r="L610" s="21"/>
    </row>
    <row r="611">
      <c r="J611" s="20"/>
      <c r="L611" s="21"/>
    </row>
    <row r="612">
      <c r="J612" s="20"/>
      <c r="L612" s="21"/>
    </row>
    <row r="613">
      <c r="J613" s="20"/>
      <c r="L613" s="21"/>
    </row>
    <row r="614">
      <c r="J614" s="20"/>
      <c r="L614" s="21"/>
    </row>
    <row r="615">
      <c r="J615" s="20"/>
      <c r="L615" s="21"/>
    </row>
    <row r="616">
      <c r="J616" s="20"/>
      <c r="L616" s="21"/>
    </row>
    <row r="617">
      <c r="J617" s="20"/>
      <c r="L617" s="21"/>
    </row>
    <row r="618">
      <c r="J618" s="20"/>
      <c r="L618" s="21"/>
    </row>
    <row r="619">
      <c r="J619" s="20"/>
      <c r="L619" s="21"/>
    </row>
    <row r="620">
      <c r="J620" s="20"/>
      <c r="L620" s="21"/>
    </row>
    <row r="621">
      <c r="J621" s="20"/>
      <c r="L621" s="21"/>
    </row>
    <row r="622">
      <c r="J622" s="20"/>
      <c r="L622" s="21"/>
    </row>
    <row r="623">
      <c r="J623" s="20"/>
      <c r="L623" s="21"/>
    </row>
    <row r="624">
      <c r="J624" s="20"/>
      <c r="L624" s="21"/>
    </row>
    <row r="625">
      <c r="J625" s="20"/>
      <c r="L625" s="21"/>
    </row>
    <row r="626">
      <c r="J626" s="20"/>
      <c r="L626" s="21"/>
    </row>
    <row r="627">
      <c r="J627" s="20"/>
      <c r="L627" s="21"/>
    </row>
    <row r="628">
      <c r="J628" s="20"/>
      <c r="L628" s="21"/>
    </row>
    <row r="629">
      <c r="J629" s="20"/>
      <c r="L629" s="21"/>
    </row>
    <row r="630">
      <c r="J630" s="20"/>
      <c r="L630" s="21"/>
    </row>
    <row r="631">
      <c r="J631" s="20"/>
      <c r="L631" s="21"/>
    </row>
    <row r="632">
      <c r="J632" s="20"/>
      <c r="L632" s="21"/>
    </row>
    <row r="633">
      <c r="J633" s="20"/>
      <c r="L633" s="21"/>
    </row>
    <row r="634">
      <c r="J634" s="20"/>
      <c r="L634" s="21"/>
    </row>
    <row r="635">
      <c r="J635" s="20"/>
      <c r="L635" s="21"/>
    </row>
    <row r="636">
      <c r="J636" s="20"/>
      <c r="L636" s="21"/>
    </row>
    <row r="637">
      <c r="J637" s="20"/>
      <c r="L637" s="21"/>
    </row>
    <row r="638">
      <c r="J638" s="20"/>
      <c r="L638" s="21"/>
    </row>
    <row r="639">
      <c r="J639" s="20"/>
      <c r="L639" s="21"/>
    </row>
    <row r="640">
      <c r="J640" s="20"/>
      <c r="L640" s="21"/>
    </row>
    <row r="641">
      <c r="J641" s="20"/>
      <c r="L641" s="21"/>
    </row>
    <row r="642">
      <c r="J642" s="20"/>
      <c r="L642" s="21"/>
    </row>
    <row r="643">
      <c r="J643" s="20"/>
      <c r="L643" s="21"/>
    </row>
    <row r="644">
      <c r="J644" s="20"/>
      <c r="L644" s="21"/>
    </row>
    <row r="645">
      <c r="J645" s="20"/>
      <c r="L645" s="21"/>
    </row>
    <row r="646">
      <c r="J646" s="20"/>
      <c r="L646" s="21"/>
    </row>
    <row r="647">
      <c r="J647" s="20"/>
      <c r="L647" s="21"/>
    </row>
    <row r="648">
      <c r="J648" s="20"/>
      <c r="L648" s="21"/>
    </row>
    <row r="649">
      <c r="J649" s="20"/>
      <c r="L649" s="21"/>
    </row>
    <row r="650">
      <c r="J650" s="20"/>
      <c r="L650" s="21"/>
    </row>
    <row r="651">
      <c r="J651" s="20"/>
      <c r="L651" s="21"/>
    </row>
    <row r="652">
      <c r="J652" s="20"/>
      <c r="L652" s="21"/>
    </row>
    <row r="653">
      <c r="J653" s="20"/>
      <c r="L653" s="21"/>
    </row>
    <row r="654">
      <c r="J654" s="20"/>
      <c r="L654" s="21"/>
    </row>
    <row r="655">
      <c r="J655" s="20"/>
      <c r="L655" s="21"/>
    </row>
    <row r="656">
      <c r="J656" s="20"/>
      <c r="L656" s="21"/>
    </row>
    <row r="657">
      <c r="J657" s="20"/>
      <c r="L657" s="21"/>
    </row>
    <row r="658">
      <c r="J658" s="20"/>
      <c r="L658" s="21"/>
    </row>
    <row r="659">
      <c r="J659" s="20"/>
      <c r="L659" s="21"/>
    </row>
    <row r="660">
      <c r="J660" s="20"/>
      <c r="L660" s="21"/>
    </row>
    <row r="661">
      <c r="J661" s="20"/>
      <c r="L661" s="21"/>
    </row>
    <row r="662">
      <c r="J662" s="20"/>
      <c r="L662" s="21"/>
    </row>
    <row r="663">
      <c r="J663" s="20"/>
      <c r="L663" s="21"/>
    </row>
    <row r="664">
      <c r="J664" s="20"/>
      <c r="L664" s="21"/>
    </row>
    <row r="665">
      <c r="J665" s="20"/>
      <c r="L665" s="21"/>
    </row>
    <row r="666">
      <c r="J666" s="20"/>
      <c r="L666" s="21"/>
    </row>
    <row r="667">
      <c r="J667" s="20"/>
      <c r="L667" s="21"/>
    </row>
    <row r="668">
      <c r="J668" s="20"/>
      <c r="L668" s="21"/>
    </row>
    <row r="669">
      <c r="J669" s="20"/>
      <c r="L669" s="21"/>
    </row>
    <row r="670">
      <c r="J670" s="20"/>
      <c r="L670" s="21"/>
    </row>
    <row r="671">
      <c r="J671" s="20"/>
      <c r="L671" s="21"/>
    </row>
    <row r="672">
      <c r="J672" s="20"/>
      <c r="L672" s="21"/>
    </row>
    <row r="673">
      <c r="J673" s="20"/>
      <c r="L673" s="21"/>
    </row>
    <row r="674">
      <c r="J674" s="20"/>
      <c r="L674" s="21"/>
    </row>
    <row r="675">
      <c r="J675" s="20"/>
      <c r="L675" s="21"/>
    </row>
    <row r="676">
      <c r="J676" s="20"/>
      <c r="L676" s="21"/>
    </row>
    <row r="677">
      <c r="J677" s="20"/>
      <c r="L677" s="21"/>
    </row>
    <row r="678">
      <c r="J678" s="20"/>
      <c r="L678" s="21"/>
    </row>
    <row r="679">
      <c r="J679" s="20"/>
      <c r="L679" s="21"/>
    </row>
    <row r="680">
      <c r="J680" s="20"/>
      <c r="L680" s="21"/>
    </row>
    <row r="681">
      <c r="J681" s="20"/>
      <c r="L681" s="21"/>
    </row>
    <row r="682">
      <c r="J682" s="20"/>
      <c r="L682" s="21"/>
    </row>
    <row r="683">
      <c r="J683" s="20"/>
      <c r="L683" s="21"/>
    </row>
    <row r="684">
      <c r="J684" s="20"/>
      <c r="L684" s="21"/>
    </row>
    <row r="685">
      <c r="J685" s="20"/>
      <c r="L685" s="21"/>
    </row>
    <row r="686">
      <c r="J686" s="20"/>
      <c r="L686" s="21"/>
    </row>
    <row r="687">
      <c r="J687" s="20"/>
      <c r="L687" s="21"/>
    </row>
    <row r="688">
      <c r="J688" s="20"/>
      <c r="L688" s="21"/>
    </row>
    <row r="689">
      <c r="J689" s="20"/>
      <c r="L689" s="21"/>
    </row>
    <row r="690">
      <c r="J690" s="20"/>
      <c r="L690" s="21"/>
    </row>
    <row r="691">
      <c r="J691" s="20"/>
      <c r="L691" s="21"/>
    </row>
    <row r="692">
      <c r="J692" s="20"/>
      <c r="L692" s="21"/>
    </row>
    <row r="693">
      <c r="J693" s="20"/>
      <c r="L693" s="21"/>
    </row>
    <row r="694">
      <c r="J694" s="20"/>
      <c r="L694" s="21"/>
    </row>
    <row r="695">
      <c r="J695" s="20"/>
      <c r="L695" s="21"/>
    </row>
    <row r="696">
      <c r="J696" s="20"/>
      <c r="L696" s="21"/>
    </row>
    <row r="697">
      <c r="J697" s="20"/>
      <c r="L697" s="21"/>
    </row>
    <row r="698">
      <c r="J698" s="20"/>
      <c r="L698" s="21"/>
    </row>
    <row r="699">
      <c r="J699" s="20"/>
      <c r="L699" s="21"/>
    </row>
    <row r="700">
      <c r="J700" s="20"/>
      <c r="L700" s="21"/>
    </row>
    <row r="701">
      <c r="J701" s="20"/>
      <c r="L701" s="21"/>
    </row>
    <row r="702">
      <c r="J702" s="20"/>
      <c r="L702" s="21"/>
    </row>
    <row r="703">
      <c r="J703" s="20"/>
      <c r="L703" s="21"/>
    </row>
    <row r="704">
      <c r="J704" s="20"/>
      <c r="L704" s="21"/>
    </row>
    <row r="705">
      <c r="J705" s="20"/>
      <c r="L705" s="21"/>
    </row>
    <row r="706">
      <c r="J706" s="20"/>
      <c r="L706" s="21"/>
    </row>
    <row r="707">
      <c r="J707" s="20"/>
      <c r="L707" s="21"/>
    </row>
    <row r="708">
      <c r="J708" s="20"/>
      <c r="L708" s="21"/>
    </row>
    <row r="709">
      <c r="J709" s="20"/>
      <c r="L709" s="21"/>
    </row>
    <row r="710">
      <c r="J710" s="20"/>
      <c r="L710" s="21"/>
    </row>
    <row r="711">
      <c r="J711" s="20"/>
      <c r="L711" s="21"/>
    </row>
    <row r="712">
      <c r="J712" s="20"/>
      <c r="L712" s="21"/>
    </row>
    <row r="713">
      <c r="J713" s="20"/>
      <c r="L713" s="21"/>
    </row>
    <row r="714">
      <c r="J714" s="20"/>
      <c r="L714" s="21"/>
    </row>
    <row r="715">
      <c r="J715" s="20"/>
      <c r="L715" s="21"/>
    </row>
    <row r="716">
      <c r="J716" s="20"/>
      <c r="L716" s="21"/>
    </row>
    <row r="717">
      <c r="J717" s="20"/>
      <c r="L717" s="21"/>
    </row>
    <row r="718">
      <c r="J718" s="20"/>
      <c r="L718" s="21"/>
    </row>
    <row r="719">
      <c r="J719" s="20"/>
      <c r="L719" s="21"/>
    </row>
    <row r="720">
      <c r="J720" s="20"/>
      <c r="L720" s="21"/>
    </row>
    <row r="721">
      <c r="J721" s="20"/>
      <c r="L721" s="21"/>
    </row>
    <row r="722">
      <c r="J722" s="20"/>
      <c r="L722" s="21"/>
    </row>
    <row r="723">
      <c r="J723" s="20"/>
      <c r="L723" s="21"/>
    </row>
    <row r="724">
      <c r="J724" s="20"/>
      <c r="L724" s="21"/>
    </row>
    <row r="725">
      <c r="J725" s="20"/>
      <c r="L725" s="21"/>
    </row>
    <row r="726">
      <c r="J726" s="20"/>
      <c r="L726" s="21"/>
    </row>
    <row r="727">
      <c r="J727" s="20"/>
      <c r="L727" s="21"/>
    </row>
    <row r="728">
      <c r="J728" s="20"/>
      <c r="L728" s="21"/>
    </row>
    <row r="729">
      <c r="J729" s="20"/>
      <c r="L729" s="21"/>
    </row>
    <row r="730">
      <c r="J730" s="20"/>
      <c r="L730" s="21"/>
    </row>
    <row r="731">
      <c r="J731" s="20"/>
      <c r="L731" s="21"/>
    </row>
    <row r="732">
      <c r="J732" s="20"/>
      <c r="L732" s="21"/>
    </row>
    <row r="733">
      <c r="J733" s="20"/>
      <c r="L733" s="21"/>
    </row>
    <row r="734">
      <c r="J734" s="20"/>
      <c r="L734" s="21"/>
    </row>
    <row r="735">
      <c r="J735" s="20"/>
      <c r="L735" s="21"/>
    </row>
    <row r="736">
      <c r="J736" s="20"/>
      <c r="L736" s="21"/>
    </row>
    <row r="737">
      <c r="J737" s="20"/>
      <c r="L737" s="21"/>
    </row>
    <row r="738">
      <c r="J738" s="20"/>
      <c r="L738" s="21"/>
    </row>
    <row r="739">
      <c r="J739" s="20"/>
      <c r="L739" s="21"/>
    </row>
    <row r="740">
      <c r="J740" s="20"/>
      <c r="L740" s="21"/>
    </row>
    <row r="741">
      <c r="J741" s="20"/>
      <c r="L741" s="21"/>
    </row>
    <row r="742">
      <c r="J742" s="20"/>
      <c r="L742" s="21"/>
    </row>
    <row r="743">
      <c r="J743" s="20"/>
      <c r="L743" s="21"/>
    </row>
    <row r="744">
      <c r="J744" s="20"/>
      <c r="L744" s="21"/>
    </row>
    <row r="745">
      <c r="J745" s="20"/>
      <c r="L745" s="21"/>
    </row>
    <row r="746">
      <c r="J746" s="20"/>
      <c r="L746" s="21"/>
    </row>
    <row r="747">
      <c r="J747" s="20"/>
      <c r="L747" s="21"/>
    </row>
    <row r="748">
      <c r="J748" s="20"/>
      <c r="L748" s="21"/>
    </row>
    <row r="749">
      <c r="J749" s="20"/>
      <c r="L749" s="21"/>
    </row>
    <row r="750">
      <c r="J750" s="20"/>
      <c r="L750" s="21"/>
    </row>
    <row r="751">
      <c r="J751" s="20"/>
      <c r="L751" s="21"/>
    </row>
    <row r="752">
      <c r="J752" s="20"/>
      <c r="L752" s="21"/>
    </row>
    <row r="753">
      <c r="J753" s="20"/>
      <c r="L753" s="21"/>
    </row>
    <row r="754">
      <c r="J754" s="20"/>
      <c r="L754" s="21"/>
    </row>
    <row r="755">
      <c r="J755" s="20"/>
      <c r="L755" s="21"/>
    </row>
    <row r="756">
      <c r="J756" s="20"/>
      <c r="L756" s="21"/>
    </row>
    <row r="757">
      <c r="J757" s="20"/>
      <c r="L757" s="21"/>
    </row>
    <row r="758">
      <c r="J758" s="20"/>
      <c r="L758" s="21"/>
    </row>
    <row r="759">
      <c r="J759" s="20"/>
      <c r="L759" s="21"/>
    </row>
    <row r="760">
      <c r="J760" s="20"/>
      <c r="L760" s="21"/>
    </row>
    <row r="761">
      <c r="J761" s="20"/>
      <c r="L761" s="21"/>
    </row>
    <row r="762">
      <c r="J762" s="20"/>
      <c r="L762" s="21"/>
    </row>
    <row r="763">
      <c r="J763" s="20"/>
      <c r="L763" s="21"/>
    </row>
    <row r="764">
      <c r="J764" s="20"/>
      <c r="L764" s="21"/>
    </row>
    <row r="765">
      <c r="J765" s="20"/>
      <c r="L765" s="21"/>
    </row>
    <row r="766">
      <c r="J766" s="20"/>
      <c r="L766" s="21"/>
    </row>
    <row r="767">
      <c r="J767" s="20"/>
      <c r="L767" s="21"/>
    </row>
    <row r="768">
      <c r="J768" s="20"/>
      <c r="L768" s="21"/>
    </row>
    <row r="769">
      <c r="J769" s="20"/>
      <c r="L769" s="21"/>
    </row>
    <row r="770">
      <c r="J770" s="20"/>
      <c r="L770" s="21"/>
    </row>
    <row r="771">
      <c r="J771" s="20"/>
      <c r="L771" s="21"/>
    </row>
    <row r="772">
      <c r="J772" s="20"/>
      <c r="L772" s="21"/>
    </row>
    <row r="773">
      <c r="J773" s="20"/>
      <c r="L773" s="21"/>
    </row>
    <row r="774">
      <c r="J774" s="20"/>
      <c r="L774" s="21"/>
    </row>
    <row r="775">
      <c r="J775" s="20"/>
      <c r="L775" s="21"/>
    </row>
    <row r="776">
      <c r="J776" s="20"/>
      <c r="L776" s="21"/>
    </row>
    <row r="777">
      <c r="J777" s="20"/>
      <c r="L777" s="21"/>
    </row>
    <row r="778">
      <c r="J778" s="20"/>
      <c r="L778" s="21"/>
    </row>
    <row r="779">
      <c r="J779" s="20"/>
      <c r="L779" s="21"/>
    </row>
    <row r="780">
      <c r="J780" s="20"/>
      <c r="L780" s="21"/>
    </row>
    <row r="781">
      <c r="J781" s="20"/>
      <c r="L781" s="21"/>
    </row>
    <row r="782">
      <c r="J782" s="20"/>
      <c r="L782" s="21"/>
    </row>
    <row r="783">
      <c r="J783" s="20"/>
      <c r="L783" s="21"/>
    </row>
    <row r="784">
      <c r="J784" s="20"/>
      <c r="L784" s="21"/>
    </row>
    <row r="785">
      <c r="J785" s="20"/>
      <c r="L785" s="21"/>
    </row>
    <row r="786">
      <c r="J786" s="20"/>
      <c r="L786" s="21"/>
    </row>
    <row r="787">
      <c r="J787" s="20"/>
      <c r="L787" s="21"/>
    </row>
    <row r="788">
      <c r="J788" s="20"/>
      <c r="L788" s="21"/>
    </row>
    <row r="789">
      <c r="J789" s="20"/>
      <c r="L789" s="21"/>
    </row>
    <row r="790">
      <c r="J790" s="20"/>
      <c r="L790" s="21"/>
    </row>
    <row r="791">
      <c r="J791" s="20"/>
      <c r="L791" s="21"/>
    </row>
    <row r="792">
      <c r="J792" s="20"/>
      <c r="L792" s="21"/>
    </row>
    <row r="793">
      <c r="J793" s="20"/>
      <c r="L793" s="21"/>
    </row>
    <row r="794">
      <c r="J794" s="20"/>
      <c r="L794" s="21"/>
    </row>
    <row r="795">
      <c r="J795" s="20"/>
      <c r="L795" s="21"/>
    </row>
    <row r="796">
      <c r="J796" s="20"/>
      <c r="L796" s="21"/>
    </row>
    <row r="797">
      <c r="J797" s="20"/>
      <c r="L797" s="21"/>
    </row>
    <row r="798">
      <c r="J798" s="20"/>
      <c r="L798" s="21"/>
    </row>
    <row r="799">
      <c r="J799" s="20"/>
      <c r="L799" s="21"/>
    </row>
    <row r="800">
      <c r="J800" s="20"/>
      <c r="L800" s="21"/>
    </row>
    <row r="801">
      <c r="J801" s="20"/>
      <c r="L801" s="21"/>
    </row>
    <row r="802">
      <c r="J802" s="20"/>
      <c r="L802" s="21"/>
    </row>
    <row r="803">
      <c r="J803" s="20"/>
      <c r="L803" s="21"/>
    </row>
    <row r="804">
      <c r="J804" s="20"/>
      <c r="L804" s="21"/>
    </row>
    <row r="805">
      <c r="J805" s="20"/>
      <c r="L805" s="21"/>
    </row>
    <row r="806">
      <c r="J806" s="20"/>
      <c r="L806" s="21"/>
    </row>
    <row r="807">
      <c r="J807" s="20"/>
      <c r="L807" s="21"/>
    </row>
    <row r="808">
      <c r="J808" s="20"/>
      <c r="L808" s="21"/>
    </row>
    <row r="809">
      <c r="J809" s="20"/>
      <c r="L809" s="21"/>
    </row>
    <row r="810">
      <c r="J810" s="20"/>
      <c r="L810" s="21"/>
    </row>
    <row r="811">
      <c r="J811" s="20"/>
      <c r="L811" s="21"/>
    </row>
    <row r="812">
      <c r="J812" s="20"/>
      <c r="L812" s="21"/>
    </row>
    <row r="813">
      <c r="J813" s="20"/>
      <c r="L813" s="21"/>
    </row>
    <row r="814">
      <c r="J814" s="20"/>
      <c r="L814" s="21"/>
    </row>
    <row r="815">
      <c r="J815" s="20"/>
      <c r="L815" s="21"/>
    </row>
    <row r="816">
      <c r="J816" s="20"/>
      <c r="L816" s="21"/>
    </row>
    <row r="817">
      <c r="J817" s="20"/>
      <c r="L817" s="21"/>
    </row>
    <row r="818">
      <c r="J818" s="20"/>
      <c r="L818" s="21"/>
    </row>
    <row r="819">
      <c r="J819" s="20"/>
      <c r="L819" s="21"/>
    </row>
    <row r="820">
      <c r="J820" s="20"/>
      <c r="L820" s="21"/>
    </row>
    <row r="821">
      <c r="J821" s="20"/>
      <c r="L821" s="21"/>
    </row>
    <row r="822">
      <c r="J822" s="20"/>
      <c r="L822" s="21"/>
    </row>
    <row r="823">
      <c r="J823" s="20"/>
      <c r="L823" s="21"/>
    </row>
    <row r="824">
      <c r="J824" s="20"/>
      <c r="L824" s="21"/>
    </row>
    <row r="825">
      <c r="J825" s="20"/>
      <c r="L825" s="21"/>
    </row>
    <row r="826">
      <c r="J826" s="20"/>
      <c r="L826" s="21"/>
    </row>
    <row r="827">
      <c r="J827" s="20"/>
      <c r="L827" s="21"/>
    </row>
    <row r="828">
      <c r="J828" s="20"/>
      <c r="L828" s="21"/>
    </row>
    <row r="829">
      <c r="J829" s="20"/>
      <c r="L829" s="21"/>
    </row>
    <row r="830">
      <c r="J830" s="20"/>
      <c r="L830" s="21"/>
    </row>
    <row r="831">
      <c r="J831" s="20"/>
      <c r="L831" s="21"/>
    </row>
    <row r="832">
      <c r="J832" s="20"/>
      <c r="L832" s="21"/>
    </row>
    <row r="833">
      <c r="J833" s="20"/>
      <c r="L833" s="21"/>
    </row>
    <row r="834">
      <c r="J834" s="20"/>
      <c r="L834" s="21"/>
    </row>
    <row r="835">
      <c r="J835" s="20"/>
      <c r="L835" s="21"/>
    </row>
    <row r="836">
      <c r="J836" s="20"/>
      <c r="L836" s="21"/>
    </row>
    <row r="837">
      <c r="J837" s="20"/>
      <c r="L837" s="21"/>
    </row>
    <row r="838">
      <c r="J838" s="20"/>
      <c r="L838" s="21"/>
    </row>
    <row r="839">
      <c r="J839" s="20"/>
      <c r="L839" s="21"/>
    </row>
    <row r="840">
      <c r="J840" s="20"/>
      <c r="L840" s="21"/>
    </row>
    <row r="841">
      <c r="J841" s="20"/>
      <c r="L841" s="21"/>
    </row>
    <row r="842">
      <c r="J842" s="20"/>
      <c r="L842" s="21"/>
    </row>
    <row r="843">
      <c r="J843" s="20"/>
      <c r="L843" s="21"/>
    </row>
    <row r="844">
      <c r="J844" s="20"/>
      <c r="L844" s="21"/>
    </row>
    <row r="845">
      <c r="J845" s="20"/>
      <c r="L845" s="21"/>
    </row>
    <row r="846">
      <c r="J846" s="20"/>
      <c r="L846" s="21"/>
    </row>
    <row r="847">
      <c r="J847" s="20"/>
      <c r="L847" s="21"/>
    </row>
    <row r="848">
      <c r="J848" s="20"/>
      <c r="L848" s="21"/>
    </row>
    <row r="849">
      <c r="J849" s="20"/>
      <c r="L849" s="21"/>
    </row>
    <row r="850">
      <c r="J850" s="20"/>
      <c r="L850" s="21"/>
    </row>
    <row r="851">
      <c r="J851" s="20"/>
      <c r="L851" s="21"/>
    </row>
    <row r="852">
      <c r="J852" s="20"/>
      <c r="L852" s="21"/>
    </row>
    <row r="853">
      <c r="J853" s="20"/>
      <c r="L853" s="21"/>
    </row>
    <row r="854">
      <c r="J854" s="20"/>
      <c r="L854" s="21"/>
    </row>
    <row r="855">
      <c r="J855" s="20"/>
      <c r="L855" s="21"/>
    </row>
    <row r="856">
      <c r="J856" s="20"/>
      <c r="L856" s="21"/>
    </row>
    <row r="857">
      <c r="J857" s="20"/>
      <c r="L857" s="21"/>
    </row>
    <row r="858">
      <c r="J858" s="20"/>
      <c r="L858" s="21"/>
    </row>
    <row r="859">
      <c r="J859" s="20"/>
      <c r="L859" s="21"/>
    </row>
    <row r="860">
      <c r="J860" s="20"/>
      <c r="L860" s="21"/>
    </row>
    <row r="861">
      <c r="J861" s="20"/>
      <c r="L861" s="21"/>
    </row>
    <row r="862">
      <c r="J862" s="20"/>
      <c r="L862" s="21"/>
    </row>
    <row r="863">
      <c r="J863" s="20"/>
      <c r="L863" s="21"/>
    </row>
    <row r="864">
      <c r="J864" s="20"/>
      <c r="L864" s="21"/>
    </row>
    <row r="865">
      <c r="J865" s="20"/>
      <c r="L865" s="21"/>
    </row>
    <row r="866">
      <c r="J866" s="20"/>
      <c r="L866" s="21"/>
    </row>
    <row r="867">
      <c r="J867" s="20"/>
      <c r="L867" s="21"/>
    </row>
    <row r="868">
      <c r="J868" s="20"/>
      <c r="L868" s="21"/>
    </row>
    <row r="869">
      <c r="J869" s="20"/>
      <c r="L869" s="21"/>
    </row>
    <row r="870">
      <c r="J870" s="20"/>
      <c r="L870" s="21"/>
    </row>
    <row r="871">
      <c r="J871" s="20"/>
      <c r="L871" s="21"/>
    </row>
    <row r="872">
      <c r="J872" s="20"/>
      <c r="L872" s="21"/>
    </row>
    <row r="873">
      <c r="J873" s="20"/>
      <c r="L873" s="21"/>
    </row>
    <row r="874">
      <c r="J874" s="20"/>
      <c r="L874" s="21"/>
    </row>
    <row r="875">
      <c r="J875" s="20"/>
      <c r="L875" s="21"/>
    </row>
    <row r="876">
      <c r="J876" s="20"/>
      <c r="L876" s="21"/>
    </row>
    <row r="877">
      <c r="J877" s="20"/>
      <c r="L877" s="21"/>
    </row>
    <row r="878">
      <c r="J878" s="20"/>
      <c r="L878" s="21"/>
    </row>
    <row r="879">
      <c r="J879" s="20"/>
      <c r="L879" s="21"/>
    </row>
    <row r="880">
      <c r="J880" s="20"/>
      <c r="L880" s="21"/>
    </row>
    <row r="881">
      <c r="J881" s="20"/>
      <c r="L881" s="21"/>
    </row>
    <row r="882">
      <c r="J882" s="20"/>
      <c r="L882" s="21"/>
    </row>
    <row r="883">
      <c r="J883" s="20"/>
      <c r="L883" s="21"/>
    </row>
    <row r="884">
      <c r="J884" s="20"/>
      <c r="L884" s="21"/>
    </row>
    <row r="885">
      <c r="J885" s="20"/>
      <c r="L885" s="21"/>
    </row>
    <row r="886">
      <c r="J886" s="20"/>
      <c r="L886" s="21"/>
    </row>
    <row r="887">
      <c r="J887" s="20"/>
      <c r="L887" s="21"/>
    </row>
    <row r="888">
      <c r="J888" s="20"/>
      <c r="L888" s="21"/>
    </row>
    <row r="889">
      <c r="J889" s="20"/>
      <c r="L889" s="21"/>
    </row>
    <row r="890">
      <c r="J890" s="20"/>
      <c r="L890" s="21"/>
    </row>
    <row r="891">
      <c r="J891" s="20"/>
      <c r="L891" s="21"/>
    </row>
    <row r="892">
      <c r="J892" s="20"/>
      <c r="L892" s="21"/>
    </row>
    <row r="893">
      <c r="J893" s="20"/>
      <c r="L893" s="21"/>
    </row>
    <row r="894">
      <c r="J894" s="20"/>
      <c r="L894" s="21"/>
    </row>
    <row r="895">
      <c r="J895" s="20"/>
      <c r="L895" s="21"/>
    </row>
    <row r="896">
      <c r="J896" s="20"/>
      <c r="L896" s="21"/>
    </row>
    <row r="897">
      <c r="J897" s="20"/>
      <c r="L897" s="21"/>
    </row>
    <row r="898">
      <c r="J898" s="20"/>
      <c r="L898" s="21"/>
    </row>
    <row r="899">
      <c r="J899" s="20"/>
      <c r="L899" s="21"/>
    </row>
    <row r="900">
      <c r="J900" s="20"/>
      <c r="L900" s="21"/>
    </row>
    <row r="901">
      <c r="J901" s="20"/>
      <c r="L901" s="21"/>
    </row>
    <row r="902">
      <c r="J902" s="20"/>
      <c r="L902" s="21"/>
    </row>
    <row r="903">
      <c r="J903" s="20"/>
      <c r="L903" s="21"/>
    </row>
    <row r="904">
      <c r="J904" s="20"/>
      <c r="L904" s="21"/>
    </row>
    <row r="905">
      <c r="J905" s="20"/>
      <c r="L905" s="21"/>
    </row>
    <row r="906">
      <c r="J906" s="20"/>
      <c r="L906" s="21"/>
    </row>
    <row r="907">
      <c r="J907" s="20"/>
      <c r="L907" s="21"/>
    </row>
    <row r="908">
      <c r="J908" s="20"/>
      <c r="L908" s="21"/>
    </row>
    <row r="909">
      <c r="J909" s="20"/>
      <c r="L909" s="21"/>
    </row>
    <row r="910">
      <c r="J910" s="20"/>
      <c r="L910" s="21"/>
    </row>
    <row r="911">
      <c r="J911" s="20"/>
      <c r="L911" s="21"/>
    </row>
    <row r="912">
      <c r="J912" s="20"/>
      <c r="L912" s="21"/>
    </row>
    <row r="913">
      <c r="J913" s="20"/>
      <c r="L913" s="21"/>
    </row>
    <row r="914">
      <c r="J914" s="20"/>
      <c r="L914" s="21"/>
    </row>
    <row r="915">
      <c r="J915" s="20"/>
      <c r="L915" s="21"/>
    </row>
    <row r="916">
      <c r="J916" s="20"/>
      <c r="L916" s="21"/>
    </row>
    <row r="917">
      <c r="J917" s="20"/>
      <c r="L917" s="21"/>
    </row>
    <row r="918">
      <c r="J918" s="20"/>
      <c r="L918" s="21"/>
    </row>
    <row r="919">
      <c r="J919" s="20"/>
      <c r="L919" s="21"/>
    </row>
    <row r="920">
      <c r="J920" s="20"/>
      <c r="L920" s="21"/>
    </row>
    <row r="921">
      <c r="J921" s="20"/>
      <c r="L921" s="21"/>
    </row>
    <row r="922">
      <c r="J922" s="20"/>
      <c r="L922" s="21"/>
    </row>
    <row r="923">
      <c r="J923" s="20"/>
      <c r="L923" s="21"/>
    </row>
    <row r="924">
      <c r="J924" s="20"/>
      <c r="L924" s="21"/>
    </row>
    <row r="925">
      <c r="J925" s="20"/>
      <c r="L925" s="21"/>
    </row>
    <row r="926">
      <c r="J926" s="20"/>
      <c r="L926" s="21"/>
    </row>
    <row r="927">
      <c r="J927" s="20"/>
      <c r="L927" s="21"/>
    </row>
    <row r="928">
      <c r="J928" s="20"/>
      <c r="L928" s="21"/>
    </row>
    <row r="929">
      <c r="J929" s="20"/>
      <c r="L929" s="21"/>
    </row>
    <row r="930">
      <c r="J930" s="20"/>
      <c r="L930" s="21"/>
    </row>
    <row r="931">
      <c r="J931" s="20"/>
      <c r="L931" s="21"/>
    </row>
    <row r="932">
      <c r="J932" s="20"/>
      <c r="L932" s="21"/>
    </row>
    <row r="933">
      <c r="J933" s="20"/>
      <c r="L933" s="21"/>
    </row>
    <row r="934">
      <c r="J934" s="20"/>
      <c r="L934" s="21"/>
    </row>
    <row r="935">
      <c r="J935" s="20"/>
      <c r="L935" s="21"/>
    </row>
    <row r="936">
      <c r="J936" s="20"/>
      <c r="L936" s="21"/>
    </row>
    <row r="937">
      <c r="J937" s="20"/>
      <c r="L937" s="21"/>
    </row>
    <row r="938">
      <c r="J938" s="20"/>
      <c r="L938" s="21"/>
    </row>
    <row r="939">
      <c r="J939" s="20"/>
      <c r="L939" s="21"/>
    </row>
    <row r="940">
      <c r="J940" s="20"/>
      <c r="L940" s="21"/>
    </row>
    <row r="941">
      <c r="J941" s="20"/>
      <c r="L941" s="21"/>
    </row>
    <row r="942">
      <c r="J942" s="20"/>
      <c r="L942" s="21"/>
    </row>
    <row r="943">
      <c r="J943" s="20"/>
      <c r="L943" s="21"/>
    </row>
    <row r="944">
      <c r="J944" s="20"/>
      <c r="L944" s="21"/>
    </row>
    <row r="945">
      <c r="J945" s="20"/>
      <c r="L945" s="21"/>
    </row>
    <row r="946">
      <c r="J946" s="20"/>
      <c r="L946" s="21"/>
    </row>
    <row r="947">
      <c r="J947" s="20"/>
      <c r="L947" s="21"/>
    </row>
    <row r="948">
      <c r="J948" s="20"/>
      <c r="L948" s="21"/>
    </row>
    <row r="949">
      <c r="J949" s="20"/>
      <c r="L949" s="21"/>
    </row>
    <row r="950">
      <c r="J950" s="20"/>
      <c r="L950" s="21"/>
    </row>
    <row r="951">
      <c r="J951" s="20"/>
      <c r="L951" s="21"/>
    </row>
    <row r="952">
      <c r="J952" s="20"/>
      <c r="L952" s="21"/>
    </row>
    <row r="953">
      <c r="J953" s="20"/>
      <c r="L953" s="21"/>
    </row>
    <row r="954">
      <c r="J954" s="20"/>
      <c r="L954" s="21"/>
    </row>
    <row r="955">
      <c r="J955" s="20"/>
      <c r="L955" s="21"/>
    </row>
    <row r="956">
      <c r="J956" s="20"/>
      <c r="L956" s="21"/>
    </row>
    <row r="957">
      <c r="J957" s="20"/>
      <c r="L957" s="21"/>
    </row>
    <row r="958">
      <c r="J958" s="20"/>
      <c r="L958" s="21"/>
    </row>
    <row r="959">
      <c r="J959" s="20"/>
      <c r="L959" s="21"/>
    </row>
    <row r="960">
      <c r="J960" s="20"/>
      <c r="L960" s="21"/>
    </row>
    <row r="961">
      <c r="J961" s="20"/>
      <c r="L961" s="21"/>
    </row>
    <row r="962">
      <c r="J962" s="20"/>
      <c r="L962" s="21"/>
    </row>
    <row r="963">
      <c r="J963" s="20"/>
      <c r="L963" s="21"/>
    </row>
    <row r="964">
      <c r="J964" s="20"/>
      <c r="L964" s="21"/>
    </row>
    <row r="965">
      <c r="J965" s="20"/>
      <c r="L965" s="21"/>
    </row>
    <row r="966">
      <c r="J966" s="20"/>
      <c r="L966" s="21"/>
    </row>
    <row r="967">
      <c r="J967" s="20"/>
      <c r="L967" s="21"/>
    </row>
    <row r="968">
      <c r="J968" s="20"/>
      <c r="L968" s="21"/>
    </row>
    <row r="969">
      <c r="J969" s="20"/>
      <c r="L969" s="21"/>
    </row>
    <row r="970">
      <c r="J970" s="20"/>
      <c r="L970" s="21"/>
    </row>
    <row r="971">
      <c r="J971" s="20"/>
      <c r="L971" s="21"/>
    </row>
    <row r="972">
      <c r="J972" s="20"/>
      <c r="L972" s="21"/>
    </row>
    <row r="973">
      <c r="J973" s="20"/>
      <c r="L973" s="21"/>
    </row>
    <row r="974">
      <c r="J974" s="20"/>
      <c r="L974" s="21"/>
    </row>
    <row r="975">
      <c r="J975" s="20"/>
      <c r="L975" s="21"/>
    </row>
    <row r="976">
      <c r="J976" s="20"/>
      <c r="L976" s="21"/>
    </row>
    <row r="977">
      <c r="J977" s="20"/>
      <c r="L977" s="21"/>
    </row>
    <row r="978">
      <c r="J978" s="20"/>
      <c r="L978" s="21"/>
    </row>
    <row r="979">
      <c r="J979" s="20"/>
      <c r="L979" s="21"/>
    </row>
    <row r="980">
      <c r="J980" s="20"/>
      <c r="L980" s="21"/>
    </row>
    <row r="981">
      <c r="J981" s="20"/>
      <c r="L981" s="21"/>
    </row>
    <row r="982">
      <c r="J982" s="20"/>
      <c r="L982" s="21"/>
    </row>
    <row r="983">
      <c r="J983" s="20"/>
      <c r="L983" s="21"/>
    </row>
    <row r="984">
      <c r="J984" s="20"/>
      <c r="L984" s="21"/>
    </row>
    <row r="985">
      <c r="J985" s="20"/>
      <c r="L985" s="21"/>
    </row>
    <row r="986">
      <c r="J986" s="20"/>
      <c r="L986" s="21"/>
    </row>
    <row r="987">
      <c r="J987" s="20"/>
      <c r="L987" s="21"/>
    </row>
    <row r="988">
      <c r="J988" s="20"/>
      <c r="L988" s="21"/>
    </row>
    <row r="989">
      <c r="J989" s="20"/>
      <c r="L989" s="21"/>
    </row>
    <row r="990">
      <c r="J990" s="20"/>
      <c r="L990" s="21"/>
    </row>
    <row r="991">
      <c r="J991" s="20"/>
      <c r="L991" s="21"/>
    </row>
    <row r="992">
      <c r="J992" s="20"/>
      <c r="L992" s="21"/>
    </row>
    <row r="993">
      <c r="J993" s="20"/>
      <c r="L993" s="21"/>
    </row>
    <row r="994">
      <c r="J994" s="20"/>
      <c r="L994" s="21"/>
    </row>
    <row r="995">
      <c r="J995" s="20"/>
      <c r="L995" s="21"/>
    </row>
    <row r="996">
      <c r="J996" s="20"/>
      <c r="L996" s="21"/>
    </row>
    <row r="997">
      <c r="J997" s="20"/>
      <c r="L997" s="21"/>
    </row>
    <row r="998">
      <c r="J998" s="20"/>
      <c r="L998" s="21"/>
    </row>
    <row r="999">
      <c r="J999" s="20"/>
      <c r="L999" s="21"/>
    </row>
    <row r="1000">
      <c r="J1000" s="20"/>
      <c r="L1000" s="21"/>
    </row>
  </sheetData>
  <autoFilter ref="$A$1:$L$9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hidden="1" min="3" max="3" width="12.63"/>
    <col customWidth="1" min="5" max="5" width="4.38"/>
    <col customWidth="1" min="6" max="6" width="13.25"/>
    <col customWidth="1" min="7" max="7" width="8.88"/>
    <col customWidth="1" min="8" max="8" width="7.13"/>
    <col customWidth="1" hidden="1" min="9" max="9" width="5.38"/>
    <col customWidth="1" min="11" max="11" width="14.63"/>
  </cols>
  <sheetData>
    <row r="1">
      <c r="A1" s="24" t="s">
        <v>175</v>
      </c>
      <c r="B1" s="25" t="s">
        <v>176</v>
      </c>
      <c r="C1" s="25" t="s">
        <v>177</v>
      </c>
      <c r="D1" s="24" t="s">
        <v>178</v>
      </c>
      <c r="E1" s="24" t="s">
        <v>179</v>
      </c>
      <c r="F1" s="25" t="s">
        <v>180</v>
      </c>
      <c r="G1" s="24" t="s">
        <v>181</v>
      </c>
      <c r="H1" s="24" t="s">
        <v>182</v>
      </c>
      <c r="I1" s="26"/>
      <c r="J1" s="24" t="s">
        <v>183</v>
      </c>
      <c r="K1" s="24" t="s">
        <v>184</v>
      </c>
    </row>
    <row r="2">
      <c r="A2" s="27">
        <v>45942.0</v>
      </c>
      <c r="B2" s="25">
        <f>sum(C2:C3)</f>
        <v>12469993</v>
      </c>
      <c r="C2" s="25">
        <v>1356168.0</v>
      </c>
      <c r="D2" s="24" t="s">
        <v>185</v>
      </c>
      <c r="E2" s="28">
        <v>0.6</v>
      </c>
      <c r="F2" s="29">
        <f>B2*E2</f>
        <v>7481995.8</v>
      </c>
      <c r="G2" s="29">
        <f t="shared" ref="G2:G3" si="1">F2*0.1</f>
        <v>748199.58</v>
      </c>
      <c r="H2" s="24">
        <v>1435.98</v>
      </c>
      <c r="I2" s="29">
        <f t="shared" ref="I2:I3" si="2">G2/H2</f>
        <v>521.037605</v>
      </c>
      <c r="J2" s="24" t="s">
        <v>186</v>
      </c>
      <c r="K2" s="24" t="s">
        <v>187</v>
      </c>
    </row>
    <row r="3">
      <c r="A3" s="26"/>
      <c r="B3" s="25"/>
      <c r="C3" s="25">
        <v>1.1113825E7</v>
      </c>
      <c r="D3" s="24" t="s">
        <v>188</v>
      </c>
      <c r="E3" s="28">
        <v>0.4</v>
      </c>
      <c r="F3" s="29">
        <f>B2*E3</f>
        <v>4987997.2</v>
      </c>
      <c r="G3" s="29">
        <f t="shared" si="1"/>
        <v>498799.72</v>
      </c>
      <c r="H3" s="24">
        <v>943.67</v>
      </c>
      <c r="I3" s="29">
        <f t="shared" si="2"/>
        <v>528.5743109</v>
      </c>
      <c r="J3" s="24" t="s">
        <v>189</v>
      </c>
      <c r="K3" s="24" t="s">
        <v>187</v>
      </c>
    </row>
    <row r="4">
      <c r="B4" s="20"/>
      <c r="C4" s="20"/>
      <c r="F4" s="20"/>
    </row>
    <row r="5">
      <c r="A5" s="16" t="s">
        <v>190</v>
      </c>
      <c r="B5" s="20"/>
      <c r="C5" s="20"/>
      <c r="F5" s="20"/>
    </row>
    <row r="6">
      <c r="A6" s="22">
        <v>45943.0</v>
      </c>
      <c r="B6" s="19" t="s">
        <v>191</v>
      </c>
      <c r="C6" s="20"/>
      <c r="D6" s="16" t="s">
        <v>192</v>
      </c>
      <c r="F6" s="20"/>
    </row>
    <row r="7">
      <c r="A7" s="16" t="s">
        <v>193</v>
      </c>
      <c r="B7" s="19">
        <v>1348.85</v>
      </c>
      <c r="C7" s="20"/>
      <c r="F7" s="20"/>
    </row>
    <row r="8">
      <c r="B8" s="20"/>
      <c r="C8" s="20"/>
      <c r="F8" s="20"/>
    </row>
    <row r="9">
      <c r="A9" s="24" t="s">
        <v>175</v>
      </c>
      <c r="B9" s="25" t="s">
        <v>176</v>
      </c>
      <c r="C9" s="25" t="s">
        <v>177</v>
      </c>
      <c r="D9" s="24" t="s">
        <v>178</v>
      </c>
      <c r="E9" s="24" t="s">
        <v>179</v>
      </c>
      <c r="F9" s="25" t="s">
        <v>180</v>
      </c>
      <c r="G9" s="24" t="s">
        <v>181</v>
      </c>
      <c r="H9" s="24" t="s">
        <v>182</v>
      </c>
      <c r="I9" s="26"/>
      <c r="J9" s="24" t="s">
        <v>183</v>
      </c>
      <c r="K9" s="24" t="s">
        <v>184</v>
      </c>
    </row>
    <row r="10">
      <c r="A10" s="27">
        <v>45978.0</v>
      </c>
      <c r="B10" s="25">
        <v>1.2205947E7</v>
      </c>
      <c r="C10" s="25">
        <v>1356168.0</v>
      </c>
      <c r="D10" s="24" t="s">
        <v>185</v>
      </c>
      <c r="E10" s="28">
        <v>0.05</v>
      </c>
      <c r="F10" s="29">
        <f>B14*E10</f>
        <v>698670.05</v>
      </c>
      <c r="G10" s="29">
        <f t="shared" ref="G10:G11" si="3">F10*0.1</f>
        <v>69867.005</v>
      </c>
      <c r="H10" s="24">
        <v>1435.98</v>
      </c>
      <c r="I10" s="29">
        <f t="shared" ref="I10:I11" si="4">G10/H10</f>
        <v>48.65458084</v>
      </c>
      <c r="J10" s="24" t="s">
        <v>194</v>
      </c>
      <c r="K10" s="24" t="s">
        <v>187</v>
      </c>
    </row>
    <row r="11">
      <c r="A11" s="24" t="s">
        <v>195</v>
      </c>
      <c r="B11" s="25">
        <v>567454.0</v>
      </c>
      <c r="C11" s="25">
        <v>1.1113825E7</v>
      </c>
      <c r="D11" s="24" t="s">
        <v>188</v>
      </c>
      <c r="E11" s="28">
        <v>0.95</v>
      </c>
      <c r="F11" s="29">
        <f>B14*E11</f>
        <v>13274730.95</v>
      </c>
      <c r="G11" s="29">
        <f t="shared" si="3"/>
        <v>1327473.095</v>
      </c>
      <c r="H11" s="24">
        <v>943.67</v>
      </c>
      <c r="I11" s="29">
        <f t="shared" si="4"/>
        <v>1406.713253</v>
      </c>
      <c r="J11" s="24" t="s">
        <v>196</v>
      </c>
      <c r="K11" s="24" t="s">
        <v>187</v>
      </c>
    </row>
    <row r="12">
      <c r="A12" s="16" t="s">
        <v>197</v>
      </c>
      <c r="B12" s="20">
        <f>SUM(B10:B11)</f>
        <v>12773401</v>
      </c>
      <c r="C12" s="20"/>
      <c r="F12" s="20"/>
    </row>
    <row r="13">
      <c r="A13" s="16" t="s">
        <v>198</v>
      </c>
      <c r="B13" s="19">
        <v>1200000.0</v>
      </c>
      <c r="C13" s="20"/>
      <c r="D13" s="16">
        <v>5.08134941081E11</v>
      </c>
      <c r="F13" s="20"/>
    </row>
    <row r="14">
      <c r="B14" s="20">
        <f>B12+B13</f>
        <v>13973401</v>
      </c>
      <c r="C14" s="20"/>
      <c r="F14" s="20"/>
    </row>
    <row r="15">
      <c r="A15" s="16" t="s">
        <v>198</v>
      </c>
      <c r="B15" s="19">
        <v>554435.0</v>
      </c>
      <c r="C15" s="20"/>
      <c r="F15" s="20"/>
    </row>
    <row r="16">
      <c r="A16" s="16" t="s">
        <v>198</v>
      </c>
      <c r="B16" s="19">
        <v>913904.0</v>
      </c>
      <c r="C16" s="20"/>
      <c r="F16" s="20"/>
    </row>
    <row r="17">
      <c r="B17" s="20"/>
      <c r="C17" s="20"/>
      <c r="F17" s="20"/>
    </row>
    <row r="18">
      <c r="B18" s="20"/>
      <c r="C18" s="20"/>
      <c r="F18" s="20"/>
    </row>
    <row r="19">
      <c r="B19" s="20"/>
      <c r="C19" s="20"/>
      <c r="F19" s="20"/>
    </row>
    <row r="20">
      <c r="B20" s="20"/>
      <c r="C20" s="20"/>
      <c r="F20" s="20"/>
    </row>
    <row r="21">
      <c r="B21" s="20"/>
      <c r="C21" s="20"/>
      <c r="F21" s="20"/>
    </row>
    <row r="22">
      <c r="B22" s="20"/>
      <c r="C22" s="20"/>
      <c r="F22" s="20"/>
    </row>
    <row r="23">
      <c r="B23" s="20"/>
      <c r="C23" s="20"/>
      <c r="F23" s="20"/>
    </row>
    <row r="24">
      <c r="B24" s="20"/>
      <c r="C24" s="20"/>
      <c r="F24" s="20"/>
    </row>
    <row r="25">
      <c r="B25" s="20"/>
      <c r="C25" s="20"/>
      <c r="F25" s="20"/>
    </row>
    <row r="26">
      <c r="B26" s="20"/>
      <c r="C26" s="20"/>
      <c r="F26" s="20"/>
    </row>
    <row r="27">
      <c r="B27" s="20"/>
      <c r="C27" s="20"/>
      <c r="F27" s="20"/>
    </row>
    <row r="28">
      <c r="B28" s="20"/>
      <c r="C28" s="20"/>
      <c r="F28" s="20"/>
    </row>
    <row r="29">
      <c r="B29" s="20"/>
      <c r="C29" s="20"/>
      <c r="F29" s="20"/>
    </row>
    <row r="30">
      <c r="B30" s="20"/>
      <c r="C30" s="20"/>
      <c r="F30" s="20"/>
    </row>
    <row r="31">
      <c r="B31" s="20"/>
      <c r="C31" s="20"/>
      <c r="F31" s="20"/>
    </row>
    <row r="32">
      <c r="B32" s="20"/>
      <c r="C32" s="20"/>
      <c r="F32" s="20"/>
    </row>
    <row r="33">
      <c r="B33" s="20"/>
      <c r="C33" s="20"/>
      <c r="F33" s="20"/>
    </row>
    <row r="34">
      <c r="B34" s="20"/>
      <c r="C34" s="20"/>
      <c r="F34" s="20"/>
    </row>
    <row r="35">
      <c r="B35" s="20"/>
      <c r="C35" s="20"/>
      <c r="F35" s="20"/>
    </row>
    <row r="36">
      <c r="B36" s="20"/>
      <c r="C36" s="20"/>
      <c r="F36" s="20"/>
    </row>
    <row r="37">
      <c r="B37" s="20"/>
      <c r="C37" s="20"/>
      <c r="F37" s="20"/>
    </row>
    <row r="38">
      <c r="B38" s="20"/>
      <c r="C38" s="20"/>
      <c r="F38" s="20"/>
    </row>
    <row r="39">
      <c r="B39" s="20"/>
      <c r="C39" s="20"/>
      <c r="F39" s="20"/>
    </row>
    <row r="40">
      <c r="B40" s="20"/>
      <c r="C40" s="20"/>
      <c r="F40" s="20"/>
    </row>
    <row r="41">
      <c r="B41" s="20"/>
      <c r="C41" s="20"/>
      <c r="F41" s="20"/>
    </row>
    <row r="42">
      <c r="B42" s="20"/>
      <c r="C42" s="20"/>
      <c r="F42" s="20"/>
    </row>
    <row r="43">
      <c r="B43" s="20"/>
      <c r="C43" s="20"/>
      <c r="F43" s="20"/>
    </row>
    <row r="44">
      <c r="B44" s="20"/>
      <c r="C44" s="20"/>
      <c r="F44" s="20"/>
    </row>
    <row r="45">
      <c r="B45" s="20"/>
      <c r="C45" s="20"/>
      <c r="F45" s="20"/>
    </row>
    <row r="46">
      <c r="B46" s="20"/>
      <c r="C46" s="20"/>
      <c r="F46" s="20"/>
    </row>
    <row r="47">
      <c r="B47" s="20"/>
      <c r="C47" s="20"/>
      <c r="F47" s="20"/>
    </row>
    <row r="48">
      <c r="B48" s="20"/>
      <c r="C48" s="20"/>
      <c r="F48" s="20"/>
    </row>
    <row r="49">
      <c r="B49" s="20"/>
      <c r="C49" s="20"/>
      <c r="F49" s="20"/>
    </row>
    <row r="50">
      <c r="B50" s="20"/>
      <c r="C50" s="20"/>
      <c r="F50" s="20"/>
    </row>
    <row r="51">
      <c r="B51" s="20"/>
      <c r="C51" s="20"/>
      <c r="F51" s="20"/>
    </row>
    <row r="52">
      <c r="B52" s="20"/>
      <c r="C52" s="20"/>
      <c r="F52" s="20"/>
    </row>
    <row r="53">
      <c r="B53" s="20"/>
      <c r="C53" s="20"/>
      <c r="F53" s="20"/>
    </row>
    <row r="54">
      <c r="B54" s="20"/>
      <c r="C54" s="20"/>
      <c r="F54" s="20"/>
    </row>
    <row r="55">
      <c r="B55" s="20"/>
      <c r="C55" s="20"/>
      <c r="F55" s="20"/>
    </row>
    <row r="56">
      <c r="B56" s="20"/>
      <c r="C56" s="20"/>
      <c r="F56" s="20"/>
    </row>
    <row r="57">
      <c r="B57" s="20"/>
      <c r="C57" s="20"/>
      <c r="F57" s="20"/>
    </row>
    <row r="58">
      <c r="B58" s="20"/>
      <c r="C58" s="20"/>
      <c r="F58" s="20"/>
    </row>
    <row r="59">
      <c r="B59" s="20"/>
      <c r="C59" s="20"/>
      <c r="F59" s="20"/>
    </row>
    <row r="60">
      <c r="B60" s="20"/>
      <c r="C60" s="20"/>
      <c r="F60" s="20"/>
    </row>
    <row r="61">
      <c r="B61" s="20"/>
      <c r="C61" s="20"/>
      <c r="F61" s="20"/>
    </row>
    <row r="62">
      <c r="B62" s="20"/>
      <c r="C62" s="20"/>
      <c r="F62" s="20"/>
    </row>
    <row r="63">
      <c r="B63" s="20"/>
      <c r="C63" s="20"/>
      <c r="F63" s="20"/>
    </row>
    <row r="64">
      <c r="B64" s="20"/>
      <c r="C64" s="20"/>
      <c r="F64" s="20"/>
    </row>
    <row r="65">
      <c r="B65" s="20"/>
      <c r="C65" s="20"/>
      <c r="F65" s="20"/>
    </row>
    <row r="66">
      <c r="B66" s="20"/>
      <c r="C66" s="20"/>
      <c r="F66" s="20"/>
    </row>
    <row r="67">
      <c r="B67" s="20"/>
      <c r="C67" s="20"/>
      <c r="F67" s="20"/>
    </row>
    <row r="68">
      <c r="B68" s="20"/>
      <c r="C68" s="20"/>
      <c r="F68" s="20"/>
    </row>
    <row r="69">
      <c r="B69" s="20"/>
      <c r="C69" s="20"/>
      <c r="F69" s="20"/>
    </row>
    <row r="70">
      <c r="B70" s="20"/>
      <c r="C70" s="20"/>
      <c r="F70" s="20"/>
    </row>
    <row r="71">
      <c r="B71" s="20"/>
      <c r="C71" s="20"/>
      <c r="F71" s="20"/>
    </row>
    <row r="72">
      <c r="B72" s="20"/>
      <c r="C72" s="20"/>
      <c r="F72" s="20"/>
    </row>
    <row r="73">
      <c r="B73" s="20"/>
      <c r="C73" s="20"/>
      <c r="F73" s="20"/>
    </row>
    <row r="74">
      <c r="B74" s="20"/>
      <c r="C74" s="20"/>
      <c r="F74" s="20"/>
    </row>
    <row r="75">
      <c r="B75" s="20"/>
      <c r="C75" s="20"/>
      <c r="F75" s="20"/>
    </row>
    <row r="76">
      <c r="B76" s="20"/>
      <c r="C76" s="20"/>
      <c r="F76" s="20"/>
    </row>
    <row r="77">
      <c r="B77" s="20"/>
      <c r="C77" s="20"/>
      <c r="F77" s="20"/>
    </row>
    <row r="78">
      <c r="B78" s="20"/>
      <c r="C78" s="20"/>
      <c r="F78" s="20"/>
    </row>
    <row r="79">
      <c r="B79" s="20"/>
      <c r="C79" s="20"/>
      <c r="F79" s="20"/>
    </row>
    <row r="80">
      <c r="B80" s="20"/>
      <c r="C80" s="20"/>
      <c r="F80" s="20"/>
    </row>
    <row r="81">
      <c r="B81" s="20"/>
      <c r="C81" s="20"/>
      <c r="F81" s="20"/>
    </row>
    <row r="82">
      <c r="B82" s="20"/>
      <c r="C82" s="20"/>
      <c r="F82" s="20"/>
    </row>
    <row r="83">
      <c r="B83" s="20"/>
      <c r="C83" s="20"/>
      <c r="F83" s="20"/>
    </row>
    <row r="84">
      <c r="B84" s="20"/>
      <c r="C84" s="20"/>
      <c r="F84" s="20"/>
    </row>
    <row r="85">
      <c r="B85" s="20"/>
      <c r="C85" s="20"/>
      <c r="F85" s="20"/>
    </row>
    <row r="86">
      <c r="B86" s="20"/>
      <c r="C86" s="20"/>
      <c r="F86" s="20"/>
    </row>
    <row r="87">
      <c r="B87" s="20"/>
      <c r="C87" s="20"/>
      <c r="F87" s="20"/>
    </row>
    <row r="88">
      <c r="B88" s="20"/>
      <c r="C88" s="20"/>
      <c r="F88" s="20"/>
    </row>
    <row r="89">
      <c r="B89" s="20"/>
      <c r="C89" s="20"/>
      <c r="F89" s="20"/>
    </row>
    <row r="90">
      <c r="B90" s="20"/>
      <c r="C90" s="20"/>
      <c r="F90" s="20"/>
    </row>
    <row r="91">
      <c r="B91" s="20"/>
      <c r="C91" s="20"/>
      <c r="F91" s="20"/>
    </row>
    <row r="92">
      <c r="B92" s="20"/>
      <c r="C92" s="20"/>
      <c r="F92" s="20"/>
    </row>
    <row r="93">
      <c r="B93" s="20"/>
      <c r="C93" s="20"/>
      <c r="F93" s="20"/>
    </row>
    <row r="94">
      <c r="B94" s="20"/>
      <c r="C94" s="20"/>
      <c r="F94" s="20"/>
    </row>
    <row r="95">
      <c r="B95" s="20"/>
      <c r="C95" s="20"/>
      <c r="F95" s="20"/>
    </row>
    <row r="96">
      <c r="B96" s="20"/>
      <c r="C96" s="20"/>
      <c r="F96" s="20"/>
    </row>
    <row r="97">
      <c r="B97" s="20"/>
      <c r="C97" s="20"/>
      <c r="F97" s="20"/>
    </row>
    <row r="98">
      <c r="B98" s="20"/>
      <c r="C98" s="20"/>
      <c r="F98" s="20"/>
    </row>
    <row r="99">
      <c r="B99" s="20"/>
      <c r="C99" s="20"/>
      <c r="F99" s="20"/>
    </row>
    <row r="100">
      <c r="B100" s="20"/>
      <c r="C100" s="20"/>
      <c r="F100" s="20"/>
    </row>
    <row r="101">
      <c r="B101" s="20"/>
      <c r="C101" s="20"/>
      <c r="F101" s="20"/>
    </row>
    <row r="102">
      <c r="B102" s="20"/>
      <c r="C102" s="20"/>
      <c r="F102" s="20"/>
    </row>
    <row r="103">
      <c r="B103" s="20"/>
      <c r="C103" s="20"/>
      <c r="F103" s="20"/>
    </row>
    <row r="104">
      <c r="B104" s="20"/>
      <c r="C104" s="20"/>
      <c r="F104" s="20"/>
    </row>
    <row r="105">
      <c r="B105" s="20"/>
      <c r="C105" s="20"/>
      <c r="F105" s="20"/>
    </row>
    <row r="106">
      <c r="B106" s="20"/>
      <c r="C106" s="20"/>
      <c r="F106" s="20"/>
    </row>
    <row r="107">
      <c r="B107" s="20"/>
      <c r="C107" s="20"/>
      <c r="F107" s="20"/>
    </row>
    <row r="108">
      <c r="B108" s="20"/>
      <c r="C108" s="20"/>
      <c r="F108" s="20"/>
    </row>
    <row r="109">
      <c r="B109" s="20"/>
      <c r="C109" s="20"/>
      <c r="F109" s="20"/>
    </row>
    <row r="110">
      <c r="B110" s="20"/>
      <c r="C110" s="20"/>
      <c r="F110" s="20"/>
    </row>
    <row r="111">
      <c r="B111" s="20"/>
      <c r="C111" s="20"/>
      <c r="F111" s="20"/>
    </row>
    <row r="112">
      <c r="B112" s="20"/>
      <c r="C112" s="20"/>
      <c r="F112" s="20"/>
    </row>
    <row r="113">
      <c r="B113" s="20"/>
      <c r="C113" s="20"/>
      <c r="F113" s="20"/>
    </row>
    <row r="114">
      <c r="B114" s="20"/>
      <c r="C114" s="20"/>
      <c r="F114" s="20"/>
    </row>
    <row r="115">
      <c r="B115" s="20"/>
      <c r="C115" s="20"/>
      <c r="F115" s="20"/>
    </row>
    <row r="116">
      <c r="B116" s="20"/>
      <c r="C116" s="20"/>
      <c r="F116" s="20"/>
    </row>
    <row r="117">
      <c r="B117" s="20"/>
      <c r="C117" s="20"/>
      <c r="F117" s="20"/>
    </row>
    <row r="118">
      <c r="B118" s="20"/>
      <c r="C118" s="20"/>
      <c r="F118" s="20"/>
    </row>
    <row r="119">
      <c r="B119" s="20"/>
      <c r="C119" s="20"/>
      <c r="F119" s="20"/>
    </row>
    <row r="120">
      <c r="B120" s="20"/>
      <c r="C120" s="20"/>
      <c r="F120" s="20"/>
    </row>
    <row r="121">
      <c r="B121" s="20"/>
      <c r="C121" s="20"/>
      <c r="F121" s="20"/>
    </row>
    <row r="122">
      <c r="B122" s="20"/>
      <c r="C122" s="20"/>
      <c r="F122" s="20"/>
    </row>
    <row r="123">
      <c r="B123" s="20"/>
      <c r="C123" s="20"/>
      <c r="F123" s="20"/>
    </row>
    <row r="124">
      <c r="B124" s="20"/>
      <c r="C124" s="20"/>
      <c r="F124" s="20"/>
    </row>
    <row r="125">
      <c r="B125" s="20"/>
      <c r="C125" s="20"/>
      <c r="F125" s="20"/>
    </row>
    <row r="126">
      <c r="B126" s="20"/>
      <c r="C126" s="20"/>
      <c r="F126" s="20"/>
    </row>
    <row r="127">
      <c r="B127" s="20"/>
      <c r="C127" s="20"/>
      <c r="F127" s="20"/>
    </row>
    <row r="128">
      <c r="B128" s="20"/>
      <c r="C128" s="20"/>
      <c r="F128" s="20"/>
    </row>
    <row r="129">
      <c r="B129" s="20"/>
      <c r="C129" s="20"/>
      <c r="F129" s="20"/>
    </row>
    <row r="130">
      <c r="B130" s="20"/>
      <c r="C130" s="20"/>
      <c r="F130" s="20"/>
    </row>
    <row r="131">
      <c r="B131" s="20"/>
      <c r="C131" s="20"/>
      <c r="F131" s="20"/>
    </row>
    <row r="132">
      <c r="B132" s="20"/>
      <c r="C132" s="20"/>
      <c r="F132" s="20"/>
    </row>
    <row r="133">
      <c r="B133" s="20"/>
      <c r="C133" s="20"/>
      <c r="F133" s="20"/>
    </row>
    <row r="134">
      <c r="B134" s="20"/>
      <c r="C134" s="20"/>
      <c r="F134" s="20"/>
    </row>
    <row r="135">
      <c r="B135" s="20"/>
      <c r="C135" s="20"/>
      <c r="F135" s="20"/>
    </row>
    <row r="136">
      <c r="B136" s="20"/>
      <c r="C136" s="20"/>
      <c r="F136" s="20"/>
    </row>
    <row r="137">
      <c r="B137" s="20"/>
      <c r="C137" s="20"/>
      <c r="F137" s="20"/>
    </row>
    <row r="138">
      <c r="B138" s="20"/>
      <c r="C138" s="20"/>
      <c r="F138" s="20"/>
    </row>
    <row r="139">
      <c r="B139" s="20"/>
      <c r="C139" s="20"/>
      <c r="F139" s="20"/>
    </row>
    <row r="140">
      <c r="B140" s="20"/>
      <c r="C140" s="20"/>
      <c r="F140" s="20"/>
    </row>
    <row r="141">
      <c r="B141" s="20"/>
      <c r="C141" s="20"/>
      <c r="F141" s="20"/>
    </row>
    <row r="142">
      <c r="B142" s="20"/>
      <c r="C142" s="20"/>
      <c r="F142" s="20"/>
    </row>
    <row r="143">
      <c r="B143" s="20"/>
      <c r="C143" s="20"/>
      <c r="F143" s="20"/>
    </row>
    <row r="144">
      <c r="B144" s="20"/>
      <c r="C144" s="20"/>
      <c r="F144" s="20"/>
    </row>
    <row r="145">
      <c r="B145" s="20"/>
      <c r="C145" s="20"/>
      <c r="F145" s="20"/>
    </row>
    <row r="146">
      <c r="B146" s="20"/>
      <c r="C146" s="20"/>
      <c r="F146" s="20"/>
    </row>
    <row r="147">
      <c r="B147" s="20"/>
      <c r="C147" s="20"/>
      <c r="F147" s="20"/>
    </row>
    <row r="148">
      <c r="B148" s="20"/>
      <c r="C148" s="20"/>
      <c r="F148" s="20"/>
    </row>
    <row r="149">
      <c r="B149" s="20"/>
      <c r="C149" s="20"/>
      <c r="F149" s="20"/>
    </row>
    <row r="150">
      <c r="B150" s="20"/>
      <c r="C150" s="20"/>
      <c r="F150" s="20"/>
    </row>
    <row r="151">
      <c r="B151" s="20"/>
      <c r="C151" s="20"/>
      <c r="F151" s="20"/>
    </row>
    <row r="152">
      <c r="B152" s="20"/>
      <c r="C152" s="20"/>
      <c r="F152" s="20"/>
    </row>
    <row r="153">
      <c r="B153" s="20"/>
      <c r="C153" s="20"/>
      <c r="F153" s="20"/>
    </row>
    <row r="154">
      <c r="B154" s="20"/>
      <c r="C154" s="20"/>
      <c r="F154" s="20"/>
    </row>
    <row r="155">
      <c r="B155" s="20"/>
      <c r="C155" s="20"/>
      <c r="F155" s="20"/>
    </row>
    <row r="156">
      <c r="B156" s="20"/>
      <c r="C156" s="20"/>
      <c r="F156" s="20"/>
    </row>
    <row r="157">
      <c r="B157" s="20"/>
      <c r="C157" s="20"/>
      <c r="F157" s="20"/>
    </row>
    <row r="158">
      <c r="B158" s="20"/>
      <c r="C158" s="20"/>
      <c r="F158" s="20"/>
    </row>
    <row r="159">
      <c r="B159" s="20"/>
      <c r="C159" s="20"/>
      <c r="F159" s="20"/>
    </row>
    <row r="160">
      <c r="B160" s="20"/>
      <c r="C160" s="20"/>
      <c r="F160" s="20"/>
    </row>
    <row r="161">
      <c r="B161" s="20"/>
      <c r="C161" s="20"/>
      <c r="F161" s="20"/>
    </row>
    <row r="162">
      <c r="B162" s="20"/>
      <c r="C162" s="20"/>
      <c r="F162" s="20"/>
    </row>
    <row r="163">
      <c r="B163" s="20"/>
      <c r="C163" s="20"/>
      <c r="F163" s="20"/>
    </row>
    <row r="164">
      <c r="B164" s="20"/>
      <c r="C164" s="20"/>
      <c r="F164" s="20"/>
    </row>
    <row r="165">
      <c r="B165" s="20"/>
      <c r="C165" s="20"/>
      <c r="F165" s="20"/>
    </row>
    <row r="166">
      <c r="B166" s="20"/>
      <c r="C166" s="20"/>
      <c r="F166" s="20"/>
    </row>
    <row r="167">
      <c r="B167" s="20"/>
      <c r="C167" s="20"/>
      <c r="F167" s="20"/>
    </row>
    <row r="168">
      <c r="B168" s="20"/>
      <c r="C168" s="20"/>
      <c r="F168" s="20"/>
    </row>
    <row r="169">
      <c r="B169" s="20"/>
      <c r="C169" s="20"/>
      <c r="F169" s="20"/>
    </row>
    <row r="170">
      <c r="B170" s="20"/>
      <c r="C170" s="20"/>
      <c r="F170" s="20"/>
    </row>
    <row r="171">
      <c r="B171" s="20"/>
      <c r="C171" s="20"/>
      <c r="F171" s="20"/>
    </row>
    <row r="172">
      <c r="B172" s="20"/>
      <c r="C172" s="20"/>
      <c r="F172" s="20"/>
    </row>
    <row r="173">
      <c r="B173" s="20"/>
      <c r="C173" s="20"/>
      <c r="F173" s="20"/>
    </row>
    <row r="174">
      <c r="B174" s="20"/>
      <c r="C174" s="20"/>
      <c r="F174" s="20"/>
    </row>
    <row r="175">
      <c r="B175" s="20"/>
      <c r="C175" s="20"/>
      <c r="F175" s="20"/>
    </row>
    <row r="176">
      <c r="B176" s="20"/>
      <c r="C176" s="20"/>
      <c r="F176" s="20"/>
    </row>
    <row r="177">
      <c r="B177" s="20"/>
      <c r="C177" s="20"/>
      <c r="F177" s="20"/>
    </row>
    <row r="178">
      <c r="B178" s="20"/>
      <c r="C178" s="20"/>
      <c r="F178" s="20"/>
    </row>
    <row r="179">
      <c r="B179" s="20"/>
      <c r="C179" s="20"/>
      <c r="F179" s="20"/>
    </row>
    <row r="180">
      <c r="B180" s="20"/>
      <c r="C180" s="20"/>
      <c r="F180" s="20"/>
    </row>
    <row r="181">
      <c r="B181" s="20"/>
      <c r="C181" s="20"/>
      <c r="F181" s="20"/>
    </row>
    <row r="182">
      <c r="B182" s="20"/>
      <c r="C182" s="20"/>
      <c r="F182" s="20"/>
    </row>
    <row r="183">
      <c r="B183" s="20"/>
      <c r="C183" s="20"/>
      <c r="F183" s="20"/>
    </row>
    <row r="184">
      <c r="B184" s="20"/>
      <c r="C184" s="20"/>
      <c r="F184" s="20"/>
    </row>
    <row r="185">
      <c r="B185" s="20"/>
      <c r="C185" s="20"/>
      <c r="F185" s="20"/>
    </row>
    <row r="186">
      <c r="B186" s="20"/>
      <c r="C186" s="20"/>
      <c r="F186" s="20"/>
    </row>
    <row r="187">
      <c r="B187" s="20"/>
      <c r="C187" s="20"/>
      <c r="F187" s="20"/>
    </row>
    <row r="188">
      <c r="B188" s="20"/>
      <c r="C188" s="20"/>
      <c r="F188" s="20"/>
    </row>
    <row r="189">
      <c r="B189" s="20"/>
      <c r="C189" s="20"/>
      <c r="F189" s="20"/>
    </row>
    <row r="190">
      <c r="B190" s="20"/>
      <c r="C190" s="20"/>
      <c r="F190" s="20"/>
    </row>
    <row r="191">
      <c r="B191" s="20"/>
      <c r="C191" s="20"/>
      <c r="F191" s="20"/>
    </row>
    <row r="192">
      <c r="B192" s="20"/>
      <c r="C192" s="20"/>
      <c r="F192" s="20"/>
    </row>
    <row r="193">
      <c r="B193" s="20"/>
      <c r="C193" s="20"/>
      <c r="F193" s="20"/>
    </row>
    <row r="194">
      <c r="B194" s="20"/>
      <c r="C194" s="20"/>
      <c r="F194" s="20"/>
    </row>
    <row r="195">
      <c r="B195" s="20"/>
      <c r="C195" s="20"/>
      <c r="F195" s="20"/>
    </row>
    <row r="196">
      <c r="B196" s="20"/>
      <c r="C196" s="20"/>
      <c r="F196" s="20"/>
    </row>
    <row r="197">
      <c r="B197" s="20"/>
      <c r="C197" s="20"/>
      <c r="F197" s="20"/>
    </row>
    <row r="198">
      <c r="B198" s="20"/>
      <c r="C198" s="20"/>
      <c r="F198" s="20"/>
    </row>
    <row r="199">
      <c r="B199" s="20"/>
      <c r="C199" s="20"/>
      <c r="F199" s="20"/>
    </row>
    <row r="200">
      <c r="B200" s="20"/>
      <c r="C200" s="20"/>
      <c r="F200" s="20"/>
    </row>
    <row r="201">
      <c r="B201" s="20"/>
      <c r="C201" s="20"/>
      <c r="F201" s="20"/>
    </row>
    <row r="202">
      <c r="B202" s="20"/>
      <c r="C202" s="20"/>
      <c r="F202" s="20"/>
    </row>
    <row r="203">
      <c r="B203" s="20"/>
      <c r="C203" s="20"/>
      <c r="F203" s="20"/>
    </row>
    <row r="204">
      <c r="B204" s="20"/>
      <c r="C204" s="20"/>
      <c r="F204" s="20"/>
    </row>
    <row r="205">
      <c r="B205" s="20"/>
      <c r="C205" s="20"/>
      <c r="F205" s="20"/>
    </row>
    <row r="206">
      <c r="B206" s="20"/>
      <c r="C206" s="20"/>
      <c r="F206" s="20"/>
    </row>
    <row r="207">
      <c r="B207" s="20"/>
      <c r="C207" s="20"/>
      <c r="F207" s="20"/>
    </row>
    <row r="208">
      <c r="B208" s="20"/>
      <c r="C208" s="20"/>
      <c r="F208" s="20"/>
    </row>
    <row r="209">
      <c r="B209" s="20"/>
      <c r="C209" s="20"/>
      <c r="F209" s="20"/>
    </row>
    <row r="210">
      <c r="B210" s="20"/>
      <c r="C210" s="20"/>
      <c r="F210" s="20"/>
    </row>
    <row r="211">
      <c r="B211" s="20"/>
      <c r="C211" s="20"/>
      <c r="F211" s="20"/>
    </row>
    <row r="212">
      <c r="B212" s="20"/>
      <c r="C212" s="20"/>
      <c r="F212" s="20"/>
    </row>
    <row r="213">
      <c r="B213" s="20"/>
      <c r="C213" s="20"/>
      <c r="F213" s="20"/>
    </row>
    <row r="214">
      <c r="B214" s="20"/>
      <c r="C214" s="20"/>
      <c r="F214" s="20"/>
    </row>
    <row r="215">
      <c r="B215" s="20"/>
      <c r="C215" s="20"/>
      <c r="F215" s="20"/>
    </row>
    <row r="216">
      <c r="B216" s="20"/>
      <c r="C216" s="20"/>
      <c r="F216" s="20"/>
    </row>
    <row r="217">
      <c r="B217" s="20"/>
      <c r="C217" s="20"/>
      <c r="F217" s="20"/>
    </row>
    <row r="218">
      <c r="B218" s="20"/>
      <c r="C218" s="20"/>
      <c r="F218" s="20"/>
    </row>
    <row r="219">
      <c r="B219" s="20"/>
      <c r="C219" s="20"/>
      <c r="F219" s="20"/>
    </row>
    <row r="220">
      <c r="B220" s="20"/>
      <c r="C220" s="20"/>
      <c r="F220" s="20"/>
    </row>
    <row r="221">
      <c r="B221" s="20"/>
      <c r="C221" s="20"/>
      <c r="F221" s="20"/>
    </row>
    <row r="222">
      <c r="B222" s="20"/>
      <c r="C222" s="20"/>
      <c r="F222" s="20"/>
    </row>
    <row r="223">
      <c r="B223" s="20"/>
      <c r="C223" s="20"/>
      <c r="F223" s="20"/>
    </row>
    <row r="224">
      <c r="B224" s="20"/>
      <c r="C224" s="20"/>
      <c r="F224" s="20"/>
    </row>
    <row r="225">
      <c r="B225" s="20"/>
      <c r="C225" s="20"/>
      <c r="F225" s="20"/>
    </row>
    <row r="226">
      <c r="B226" s="20"/>
      <c r="C226" s="20"/>
      <c r="F226" s="20"/>
    </row>
    <row r="227">
      <c r="B227" s="20"/>
      <c r="C227" s="20"/>
      <c r="F227" s="20"/>
    </row>
    <row r="228">
      <c r="B228" s="20"/>
      <c r="C228" s="20"/>
      <c r="F228" s="20"/>
    </row>
    <row r="229">
      <c r="B229" s="20"/>
      <c r="C229" s="20"/>
      <c r="F229" s="20"/>
    </row>
    <row r="230">
      <c r="B230" s="20"/>
      <c r="C230" s="20"/>
      <c r="F230" s="20"/>
    </row>
    <row r="231">
      <c r="B231" s="20"/>
      <c r="C231" s="20"/>
      <c r="F231" s="20"/>
    </row>
    <row r="232">
      <c r="B232" s="20"/>
      <c r="C232" s="20"/>
      <c r="F232" s="20"/>
    </row>
    <row r="233">
      <c r="B233" s="20"/>
      <c r="C233" s="20"/>
      <c r="F233" s="20"/>
    </row>
    <row r="234">
      <c r="B234" s="20"/>
      <c r="C234" s="20"/>
      <c r="F234" s="20"/>
    </row>
    <row r="235">
      <c r="B235" s="20"/>
      <c r="C235" s="20"/>
      <c r="F235" s="20"/>
    </row>
    <row r="236">
      <c r="B236" s="20"/>
      <c r="C236" s="20"/>
      <c r="F236" s="20"/>
    </row>
    <row r="237">
      <c r="B237" s="20"/>
      <c r="C237" s="20"/>
      <c r="F237" s="20"/>
    </row>
    <row r="238">
      <c r="B238" s="20"/>
      <c r="C238" s="20"/>
      <c r="F238" s="20"/>
    </row>
    <row r="239">
      <c r="B239" s="20"/>
      <c r="C239" s="20"/>
      <c r="F239" s="20"/>
    </row>
    <row r="240">
      <c r="B240" s="20"/>
      <c r="C240" s="20"/>
      <c r="F240" s="20"/>
    </row>
    <row r="241">
      <c r="B241" s="20"/>
      <c r="C241" s="20"/>
      <c r="F241" s="20"/>
    </row>
    <row r="242">
      <c r="B242" s="20"/>
      <c r="C242" s="20"/>
      <c r="F242" s="20"/>
    </row>
    <row r="243">
      <c r="B243" s="20"/>
      <c r="C243" s="20"/>
      <c r="F243" s="20"/>
    </row>
    <row r="244">
      <c r="B244" s="20"/>
      <c r="C244" s="20"/>
      <c r="F244" s="20"/>
    </row>
    <row r="245">
      <c r="B245" s="20"/>
      <c r="C245" s="20"/>
      <c r="F245" s="20"/>
    </row>
    <row r="246">
      <c r="B246" s="20"/>
      <c r="C246" s="20"/>
      <c r="F246" s="20"/>
    </row>
    <row r="247">
      <c r="B247" s="20"/>
      <c r="C247" s="20"/>
      <c r="F247" s="20"/>
    </row>
    <row r="248">
      <c r="B248" s="20"/>
      <c r="C248" s="20"/>
      <c r="F248" s="20"/>
    </row>
    <row r="249">
      <c r="B249" s="20"/>
      <c r="C249" s="20"/>
      <c r="F249" s="20"/>
    </row>
    <row r="250">
      <c r="B250" s="20"/>
      <c r="C250" s="20"/>
      <c r="F250" s="20"/>
    </row>
    <row r="251">
      <c r="B251" s="20"/>
      <c r="C251" s="20"/>
      <c r="F251" s="20"/>
    </row>
    <row r="252">
      <c r="B252" s="20"/>
      <c r="C252" s="20"/>
      <c r="F252" s="20"/>
    </row>
    <row r="253">
      <c r="B253" s="20"/>
      <c r="C253" s="20"/>
      <c r="F253" s="20"/>
    </row>
    <row r="254">
      <c r="B254" s="20"/>
      <c r="C254" s="20"/>
      <c r="F254" s="20"/>
    </row>
    <row r="255">
      <c r="B255" s="20"/>
      <c r="C255" s="20"/>
      <c r="F255" s="20"/>
    </row>
    <row r="256">
      <c r="B256" s="20"/>
      <c r="C256" s="20"/>
      <c r="F256" s="20"/>
    </row>
    <row r="257">
      <c r="B257" s="20"/>
      <c r="C257" s="20"/>
      <c r="F257" s="20"/>
    </row>
    <row r="258">
      <c r="B258" s="20"/>
      <c r="C258" s="20"/>
      <c r="F258" s="20"/>
    </row>
    <row r="259">
      <c r="B259" s="20"/>
      <c r="C259" s="20"/>
      <c r="F259" s="20"/>
    </row>
    <row r="260">
      <c r="B260" s="20"/>
      <c r="C260" s="20"/>
      <c r="F260" s="20"/>
    </row>
    <row r="261">
      <c r="B261" s="20"/>
      <c r="C261" s="20"/>
      <c r="F261" s="20"/>
    </row>
    <row r="262">
      <c r="B262" s="20"/>
      <c r="C262" s="20"/>
      <c r="F262" s="20"/>
    </row>
    <row r="263">
      <c r="B263" s="20"/>
      <c r="C263" s="20"/>
      <c r="F263" s="20"/>
    </row>
    <row r="264">
      <c r="B264" s="20"/>
      <c r="C264" s="20"/>
      <c r="F264" s="20"/>
    </row>
    <row r="265">
      <c r="B265" s="20"/>
      <c r="C265" s="20"/>
      <c r="F265" s="20"/>
    </row>
    <row r="266">
      <c r="B266" s="20"/>
      <c r="C266" s="20"/>
      <c r="F266" s="20"/>
    </row>
    <row r="267">
      <c r="B267" s="20"/>
      <c r="C267" s="20"/>
      <c r="F267" s="20"/>
    </row>
    <row r="268">
      <c r="B268" s="20"/>
      <c r="C268" s="20"/>
      <c r="F268" s="20"/>
    </row>
    <row r="269">
      <c r="B269" s="20"/>
      <c r="C269" s="20"/>
      <c r="F269" s="20"/>
    </row>
    <row r="270">
      <c r="B270" s="20"/>
      <c r="C270" s="20"/>
      <c r="F270" s="20"/>
    </row>
    <row r="271">
      <c r="B271" s="20"/>
      <c r="C271" s="20"/>
      <c r="F271" s="20"/>
    </row>
    <row r="272">
      <c r="B272" s="20"/>
      <c r="C272" s="20"/>
      <c r="F272" s="20"/>
    </row>
    <row r="273">
      <c r="B273" s="20"/>
      <c r="C273" s="20"/>
      <c r="F273" s="20"/>
    </row>
    <row r="274">
      <c r="B274" s="20"/>
      <c r="C274" s="20"/>
      <c r="F274" s="20"/>
    </row>
    <row r="275">
      <c r="B275" s="20"/>
      <c r="C275" s="20"/>
      <c r="F275" s="20"/>
    </row>
    <row r="276">
      <c r="B276" s="20"/>
      <c r="C276" s="20"/>
      <c r="F276" s="20"/>
    </row>
    <row r="277">
      <c r="B277" s="20"/>
      <c r="C277" s="20"/>
      <c r="F277" s="20"/>
    </row>
    <row r="278">
      <c r="B278" s="20"/>
      <c r="C278" s="20"/>
      <c r="F278" s="20"/>
    </row>
    <row r="279">
      <c r="B279" s="20"/>
      <c r="C279" s="20"/>
      <c r="F279" s="20"/>
    </row>
    <row r="280">
      <c r="B280" s="20"/>
      <c r="C280" s="20"/>
      <c r="F280" s="20"/>
    </row>
    <row r="281">
      <c r="B281" s="20"/>
      <c r="C281" s="20"/>
      <c r="F281" s="20"/>
    </row>
    <row r="282">
      <c r="B282" s="20"/>
      <c r="C282" s="20"/>
      <c r="F282" s="20"/>
    </row>
    <row r="283">
      <c r="B283" s="20"/>
      <c r="C283" s="20"/>
      <c r="F283" s="20"/>
    </row>
    <row r="284">
      <c r="B284" s="20"/>
      <c r="C284" s="20"/>
      <c r="F284" s="20"/>
    </row>
    <row r="285">
      <c r="B285" s="20"/>
      <c r="C285" s="20"/>
      <c r="F285" s="20"/>
    </row>
    <row r="286">
      <c r="B286" s="20"/>
      <c r="C286" s="20"/>
      <c r="F286" s="20"/>
    </row>
    <row r="287">
      <c r="B287" s="20"/>
      <c r="C287" s="20"/>
      <c r="F287" s="20"/>
    </row>
    <row r="288">
      <c r="B288" s="20"/>
      <c r="C288" s="20"/>
      <c r="F288" s="20"/>
    </row>
    <row r="289">
      <c r="B289" s="20"/>
      <c r="C289" s="20"/>
      <c r="F289" s="20"/>
    </row>
    <row r="290">
      <c r="B290" s="20"/>
      <c r="C290" s="20"/>
      <c r="F290" s="20"/>
    </row>
    <row r="291">
      <c r="B291" s="20"/>
      <c r="C291" s="20"/>
      <c r="F291" s="20"/>
    </row>
    <row r="292">
      <c r="B292" s="20"/>
      <c r="C292" s="20"/>
      <c r="F292" s="20"/>
    </row>
    <row r="293">
      <c r="B293" s="20"/>
      <c r="C293" s="20"/>
      <c r="F293" s="20"/>
    </row>
    <row r="294">
      <c r="B294" s="20"/>
      <c r="C294" s="20"/>
      <c r="F294" s="20"/>
    </row>
    <row r="295">
      <c r="B295" s="20"/>
      <c r="C295" s="20"/>
      <c r="F295" s="20"/>
    </row>
    <row r="296">
      <c r="B296" s="20"/>
      <c r="C296" s="20"/>
      <c r="F296" s="20"/>
    </row>
    <row r="297">
      <c r="B297" s="20"/>
      <c r="C297" s="20"/>
      <c r="F297" s="20"/>
    </row>
    <row r="298">
      <c r="B298" s="20"/>
      <c r="C298" s="20"/>
      <c r="F298" s="20"/>
    </row>
    <row r="299">
      <c r="B299" s="20"/>
      <c r="C299" s="20"/>
      <c r="F299" s="20"/>
    </row>
    <row r="300">
      <c r="B300" s="20"/>
      <c r="C300" s="20"/>
      <c r="F300" s="20"/>
    </row>
    <row r="301">
      <c r="B301" s="20"/>
      <c r="C301" s="20"/>
      <c r="F301" s="20"/>
    </row>
    <row r="302">
      <c r="B302" s="20"/>
      <c r="C302" s="20"/>
      <c r="F302" s="20"/>
    </row>
    <row r="303">
      <c r="B303" s="20"/>
      <c r="C303" s="20"/>
      <c r="F303" s="20"/>
    </row>
    <row r="304">
      <c r="B304" s="20"/>
      <c r="C304" s="20"/>
      <c r="F304" s="20"/>
    </row>
    <row r="305">
      <c r="B305" s="20"/>
      <c r="C305" s="20"/>
      <c r="F305" s="20"/>
    </row>
    <row r="306">
      <c r="B306" s="20"/>
      <c r="C306" s="20"/>
      <c r="F306" s="20"/>
    </row>
    <row r="307">
      <c r="B307" s="20"/>
      <c r="C307" s="20"/>
      <c r="F307" s="20"/>
    </row>
    <row r="308">
      <c r="B308" s="20"/>
      <c r="C308" s="20"/>
      <c r="F308" s="20"/>
    </row>
    <row r="309">
      <c r="B309" s="20"/>
      <c r="C309" s="20"/>
      <c r="F309" s="20"/>
    </row>
    <row r="310">
      <c r="B310" s="20"/>
      <c r="C310" s="20"/>
      <c r="F310" s="20"/>
    </row>
    <row r="311">
      <c r="B311" s="20"/>
      <c r="C311" s="20"/>
      <c r="F311" s="20"/>
    </row>
    <row r="312">
      <c r="B312" s="20"/>
      <c r="C312" s="20"/>
      <c r="F312" s="20"/>
    </row>
    <row r="313">
      <c r="B313" s="20"/>
      <c r="C313" s="20"/>
      <c r="F313" s="20"/>
    </row>
    <row r="314">
      <c r="B314" s="20"/>
      <c r="C314" s="20"/>
      <c r="F314" s="20"/>
    </row>
    <row r="315">
      <c r="B315" s="20"/>
      <c r="C315" s="20"/>
      <c r="F315" s="20"/>
    </row>
    <row r="316">
      <c r="B316" s="20"/>
      <c r="C316" s="20"/>
      <c r="F316" s="20"/>
    </row>
    <row r="317">
      <c r="B317" s="20"/>
      <c r="C317" s="20"/>
      <c r="F317" s="20"/>
    </row>
    <row r="318">
      <c r="B318" s="20"/>
      <c r="C318" s="20"/>
      <c r="F318" s="20"/>
    </row>
    <row r="319">
      <c r="B319" s="20"/>
      <c r="C319" s="20"/>
      <c r="F319" s="20"/>
    </row>
    <row r="320">
      <c r="B320" s="20"/>
      <c r="C320" s="20"/>
      <c r="F320" s="20"/>
    </row>
    <row r="321">
      <c r="B321" s="20"/>
      <c r="C321" s="20"/>
      <c r="F321" s="20"/>
    </row>
    <row r="322">
      <c r="B322" s="20"/>
      <c r="C322" s="20"/>
      <c r="F322" s="20"/>
    </row>
    <row r="323">
      <c r="B323" s="20"/>
      <c r="C323" s="20"/>
      <c r="F323" s="20"/>
    </row>
    <row r="324">
      <c r="B324" s="20"/>
      <c r="C324" s="20"/>
      <c r="F324" s="20"/>
    </row>
    <row r="325">
      <c r="B325" s="20"/>
      <c r="C325" s="20"/>
      <c r="F325" s="20"/>
    </row>
    <row r="326">
      <c r="B326" s="20"/>
      <c r="C326" s="20"/>
      <c r="F326" s="20"/>
    </row>
    <row r="327">
      <c r="B327" s="20"/>
      <c r="C327" s="20"/>
      <c r="F327" s="20"/>
    </row>
    <row r="328">
      <c r="B328" s="20"/>
      <c r="C328" s="20"/>
      <c r="F328" s="20"/>
    </row>
    <row r="329">
      <c r="B329" s="20"/>
      <c r="C329" s="20"/>
      <c r="F329" s="20"/>
    </row>
    <row r="330">
      <c r="B330" s="20"/>
      <c r="C330" s="20"/>
      <c r="F330" s="20"/>
    </row>
    <row r="331">
      <c r="B331" s="20"/>
      <c r="C331" s="20"/>
      <c r="F331" s="20"/>
    </row>
    <row r="332">
      <c r="B332" s="20"/>
      <c r="C332" s="20"/>
      <c r="F332" s="20"/>
    </row>
    <row r="333">
      <c r="B333" s="20"/>
      <c r="C333" s="20"/>
      <c r="F333" s="20"/>
    </row>
    <row r="334">
      <c r="B334" s="20"/>
      <c r="C334" s="20"/>
      <c r="F334" s="20"/>
    </row>
    <row r="335">
      <c r="B335" s="20"/>
      <c r="C335" s="20"/>
      <c r="F335" s="20"/>
    </row>
    <row r="336">
      <c r="B336" s="20"/>
      <c r="C336" s="20"/>
      <c r="F336" s="20"/>
    </row>
    <row r="337">
      <c r="B337" s="20"/>
      <c r="C337" s="20"/>
      <c r="F337" s="20"/>
    </row>
    <row r="338">
      <c r="B338" s="20"/>
      <c r="C338" s="20"/>
      <c r="F338" s="20"/>
    </row>
    <row r="339">
      <c r="B339" s="20"/>
      <c r="C339" s="20"/>
      <c r="F339" s="20"/>
    </row>
    <row r="340">
      <c r="B340" s="20"/>
      <c r="C340" s="20"/>
      <c r="F340" s="20"/>
    </row>
    <row r="341">
      <c r="B341" s="20"/>
      <c r="C341" s="20"/>
      <c r="F341" s="20"/>
    </row>
    <row r="342">
      <c r="B342" s="20"/>
      <c r="C342" s="20"/>
      <c r="F342" s="20"/>
    </row>
    <row r="343">
      <c r="B343" s="20"/>
      <c r="C343" s="20"/>
      <c r="F343" s="20"/>
    </row>
    <row r="344">
      <c r="B344" s="20"/>
      <c r="C344" s="20"/>
      <c r="F344" s="20"/>
    </row>
    <row r="345">
      <c r="B345" s="20"/>
      <c r="C345" s="20"/>
      <c r="F345" s="20"/>
    </row>
    <row r="346">
      <c r="B346" s="20"/>
      <c r="C346" s="20"/>
      <c r="F346" s="20"/>
    </row>
    <row r="347">
      <c r="B347" s="20"/>
      <c r="C347" s="20"/>
      <c r="F347" s="20"/>
    </row>
    <row r="348">
      <c r="B348" s="20"/>
      <c r="C348" s="20"/>
      <c r="F348" s="20"/>
    </row>
    <row r="349">
      <c r="B349" s="20"/>
      <c r="C349" s="20"/>
      <c r="F349" s="20"/>
    </row>
    <row r="350">
      <c r="B350" s="20"/>
      <c r="C350" s="20"/>
      <c r="F350" s="20"/>
    </row>
    <row r="351">
      <c r="B351" s="20"/>
      <c r="C351" s="20"/>
      <c r="F351" s="20"/>
    </row>
    <row r="352">
      <c r="B352" s="20"/>
      <c r="C352" s="20"/>
      <c r="F352" s="20"/>
    </row>
    <row r="353">
      <c r="B353" s="20"/>
      <c r="C353" s="20"/>
      <c r="F353" s="20"/>
    </row>
    <row r="354">
      <c r="B354" s="20"/>
      <c r="C354" s="20"/>
      <c r="F354" s="20"/>
    </row>
    <row r="355">
      <c r="B355" s="20"/>
      <c r="C355" s="20"/>
      <c r="F355" s="20"/>
    </row>
    <row r="356">
      <c r="B356" s="20"/>
      <c r="C356" s="20"/>
      <c r="F356" s="20"/>
    </row>
    <row r="357">
      <c r="B357" s="20"/>
      <c r="C357" s="20"/>
      <c r="F357" s="20"/>
    </row>
    <row r="358">
      <c r="B358" s="20"/>
      <c r="C358" s="20"/>
      <c r="F358" s="20"/>
    </row>
    <row r="359">
      <c r="B359" s="20"/>
      <c r="C359" s="20"/>
      <c r="F359" s="20"/>
    </row>
    <row r="360">
      <c r="B360" s="20"/>
      <c r="C360" s="20"/>
      <c r="F360" s="20"/>
    </row>
    <row r="361">
      <c r="B361" s="20"/>
      <c r="C361" s="20"/>
      <c r="F361" s="20"/>
    </row>
    <row r="362">
      <c r="B362" s="20"/>
      <c r="C362" s="20"/>
      <c r="F362" s="20"/>
    </row>
    <row r="363">
      <c r="B363" s="20"/>
      <c r="C363" s="20"/>
      <c r="F363" s="20"/>
    </row>
    <row r="364">
      <c r="B364" s="20"/>
      <c r="C364" s="20"/>
      <c r="F364" s="20"/>
    </row>
    <row r="365">
      <c r="B365" s="20"/>
      <c r="C365" s="20"/>
      <c r="F365" s="20"/>
    </row>
    <row r="366">
      <c r="B366" s="20"/>
      <c r="C366" s="20"/>
      <c r="F366" s="20"/>
    </row>
    <row r="367">
      <c r="B367" s="20"/>
      <c r="C367" s="20"/>
      <c r="F367" s="20"/>
    </row>
    <row r="368">
      <c r="B368" s="20"/>
      <c r="C368" s="20"/>
      <c r="F368" s="20"/>
    </row>
    <row r="369">
      <c r="B369" s="20"/>
      <c r="C369" s="20"/>
      <c r="F369" s="20"/>
    </row>
    <row r="370">
      <c r="B370" s="20"/>
      <c r="C370" s="20"/>
      <c r="F370" s="20"/>
    </row>
    <row r="371">
      <c r="B371" s="20"/>
      <c r="C371" s="20"/>
      <c r="F371" s="20"/>
    </row>
    <row r="372">
      <c r="B372" s="20"/>
      <c r="C372" s="20"/>
      <c r="F372" s="20"/>
    </row>
    <row r="373">
      <c r="B373" s="20"/>
      <c r="C373" s="20"/>
      <c r="F373" s="20"/>
    </row>
    <row r="374">
      <c r="B374" s="20"/>
      <c r="C374" s="20"/>
      <c r="F374" s="20"/>
    </row>
    <row r="375">
      <c r="B375" s="20"/>
      <c r="C375" s="20"/>
      <c r="F375" s="20"/>
    </row>
    <row r="376">
      <c r="B376" s="20"/>
      <c r="C376" s="20"/>
      <c r="F376" s="20"/>
    </row>
    <row r="377">
      <c r="B377" s="20"/>
      <c r="C377" s="20"/>
      <c r="F377" s="20"/>
    </row>
    <row r="378">
      <c r="B378" s="20"/>
      <c r="C378" s="20"/>
      <c r="F378" s="20"/>
    </row>
    <row r="379">
      <c r="B379" s="20"/>
      <c r="C379" s="20"/>
      <c r="F379" s="20"/>
    </row>
    <row r="380">
      <c r="B380" s="20"/>
      <c r="C380" s="20"/>
      <c r="F380" s="20"/>
    </row>
    <row r="381">
      <c r="B381" s="20"/>
      <c r="C381" s="20"/>
      <c r="F381" s="20"/>
    </row>
    <row r="382">
      <c r="B382" s="20"/>
      <c r="C382" s="20"/>
      <c r="F382" s="20"/>
    </row>
    <row r="383">
      <c r="B383" s="20"/>
      <c r="C383" s="20"/>
      <c r="F383" s="20"/>
    </row>
    <row r="384">
      <c r="B384" s="20"/>
      <c r="C384" s="20"/>
      <c r="F384" s="20"/>
    </row>
    <row r="385">
      <c r="B385" s="20"/>
      <c r="C385" s="20"/>
      <c r="F385" s="20"/>
    </row>
    <row r="386">
      <c r="B386" s="20"/>
      <c r="C386" s="20"/>
      <c r="F386" s="20"/>
    </row>
    <row r="387">
      <c r="B387" s="20"/>
      <c r="C387" s="20"/>
      <c r="F387" s="20"/>
    </row>
    <row r="388">
      <c r="B388" s="20"/>
      <c r="C388" s="20"/>
      <c r="F388" s="20"/>
    </row>
    <row r="389">
      <c r="B389" s="20"/>
      <c r="C389" s="20"/>
      <c r="F389" s="20"/>
    </row>
    <row r="390">
      <c r="B390" s="20"/>
      <c r="C390" s="20"/>
      <c r="F390" s="20"/>
    </row>
    <row r="391">
      <c r="B391" s="20"/>
      <c r="C391" s="20"/>
      <c r="F391" s="20"/>
    </row>
    <row r="392">
      <c r="B392" s="20"/>
      <c r="C392" s="20"/>
      <c r="F392" s="20"/>
    </row>
    <row r="393">
      <c r="B393" s="20"/>
      <c r="C393" s="20"/>
      <c r="F393" s="20"/>
    </row>
    <row r="394">
      <c r="B394" s="20"/>
      <c r="C394" s="20"/>
      <c r="F394" s="20"/>
    </row>
    <row r="395">
      <c r="B395" s="20"/>
      <c r="C395" s="20"/>
      <c r="F395" s="20"/>
    </row>
    <row r="396">
      <c r="B396" s="20"/>
      <c r="C396" s="20"/>
      <c r="F396" s="20"/>
    </row>
    <row r="397">
      <c r="B397" s="20"/>
      <c r="C397" s="20"/>
      <c r="F397" s="20"/>
    </row>
    <row r="398">
      <c r="B398" s="20"/>
      <c r="C398" s="20"/>
      <c r="F398" s="20"/>
    </row>
    <row r="399">
      <c r="B399" s="20"/>
      <c r="C399" s="20"/>
      <c r="F399" s="20"/>
    </row>
    <row r="400">
      <c r="B400" s="20"/>
      <c r="C400" s="20"/>
      <c r="F400" s="20"/>
    </row>
    <row r="401">
      <c r="B401" s="20"/>
      <c r="C401" s="20"/>
      <c r="F401" s="20"/>
    </row>
    <row r="402">
      <c r="B402" s="20"/>
      <c r="C402" s="20"/>
      <c r="F402" s="20"/>
    </row>
    <row r="403">
      <c r="B403" s="20"/>
      <c r="C403" s="20"/>
      <c r="F403" s="20"/>
    </row>
    <row r="404">
      <c r="B404" s="20"/>
      <c r="C404" s="20"/>
      <c r="F404" s="20"/>
    </row>
    <row r="405">
      <c r="B405" s="20"/>
      <c r="C405" s="20"/>
      <c r="F405" s="20"/>
    </row>
    <row r="406">
      <c r="B406" s="20"/>
      <c r="C406" s="20"/>
      <c r="F406" s="20"/>
    </row>
    <row r="407">
      <c r="B407" s="20"/>
      <c r="C407" s="20"/>
      <c r="F407" s="20"/>
    </row>
    <row r="408">
      <c r="B408" s="20"/>
      <c r="C408" s="20"/>
      <c r="F408" s="20"/>
    </row>
    <row r="409">
      <c r="B409" s="20"/>
      <c r="C409" s="20"/>
      <c r="F409" s="20"/>
    </row>
    <row r="410">
      <c r="B410" s="20"/>
      <c r="C410" s="20"/>
      <c r="F410" s="20"/>
    </row>
    <row r="411">
      <c r="B411" s="20"/>
      <c r="C411" s="20"/>
      <c r="F411" s="20"/>
    </row>
    <row r="412">
      <c r="B412" s="20"/>
      <c r="C412" s="20"/>
      <c r="F412" s="20"/>
    </row>
    <row r="413">
      <c r="B413" s="20"/>
      <c r="C413" s="20"/>
      <c r="F413" s="20"/>
    </row>
    <row r="414">
      <c r="B414" s="20"/>
      <c r="C414" s="20"/>
      <c r="F414" s="20"/>
    </row>
    <row r="415">
      <c r="B415" s="20"/>
      <c r="C415" s="20"/>
      <c r="F415" s="20"/>
    </row>
    <row r="416">
      <c r="B416" s="20"/>
      <c r="C416" s="20"/>
      <c r="F416" s="20"/>
    </row>
    <row r="417">
      <c r="B417" s="20"/>
      <c r="C417" s="20"/>
      <c r="F417" s="20"/>
    </row>
    <row r="418">
      <c r="B418" s="20"/>
      <c r="C418" s="20"/>
      <c r="F418" s="20"/>
    </row>
    <row r="419">
      <c r="B419" s="20"/>
      <c r="C419" s="20"/>
      <c r="F419" s="20"/>
    </row>
    <row r="420">
      <c r="B420" s="20"/>
      <c r="C420" s="20"/>
      <c r="F420" s="20"/>
    </row>
    <row r="421">
      <c r="B421" s="20"/>
      <c r="C421" s="20"/>
      <c r="F421" s="20"/>
    </row>
    <row r="422">
      <c r="B422" s="20"/>
      <c r="C422" s="20"/>
      <c r="F422" s="20"/>
    </row>
    <row r="423">
      <c r="B423" s="20"/>
      <c r="C423" s="20"/>
      <c r="F423" s="20"/>
    </row>
    <row r="424">
      <c r="B424" s="20"/>
      <c r="C424" s="20"/>
      <c r="F424" s="20"/>
    </row>
    <row r="425">
      <c r="B425" s="20"/>
      <c r="C425" s="20"/>
      <c r="F425" s="20"/>
    </row>
    <row r="426">
      <c r="B426" s="20"/>
      <c r="C426" s="20"/>
      <c r="F426" s="20"/>
    </row>
    <row r="427">
      <c r="B427" s="20"/>
      <c r="C427" s="20"/>
      <c r="F427" s="20"/>
    </row>
    <row r="428">
      <c r="B428" s="20"/>
      <c r="C428" s="20"/>
      <c r="F428" s="20"/>
    </row>
    <row r="429">
      <c r="B429" s="20"/>
      <c r="C429" s="20"/>
      <c r="F429" s="20"/>
    </row>
    <row r="430">
      <c r="B430" s="20"/>
      <c r="C430" s="20"/>
      <c r="F430" s="20"/>
    </row>
    <row r="431">
      <c r="B431" s="20"/>
      <c r="C431" s="20"/>
      <c r="F431" s="20"/>
    </row>
    <row r="432">
      <c r="B432" s="20"/>
      <c r="C432" s="20"/>
      <c r="F432" s="20"/>
    </row>
    <row r="433">
      <c r="B433" s="20"/>
      <c r="C433" s="20"/>
      <c r="F433" s="20"/>
    </row>
    <row r="434">
      <c r="B434" s="20"/>
      <c r="C434" s="20"/>
      <c r="F434" s="20"/>
    </row>
    <row r="435">
      <c r="B435" s="20"/>
      <c r="C435" s="20"/>
      <c r="F435" s="20"/>
    </row>
    <row r="436">
      <c r="B436" s="20"/>
      <c r="C436" s="20"/>
      <c r="F436" s="20"/>
    </row>
    <row r="437">
      <c r="B437" s="20"/>
      <c r="C437" s="20"/>
      <c r="F437" s="20"/>
    </row>
    <row r="438">
      <c r="B438" s="20"/>
      <c r="C438" s="20"/>
      <c r="F438" s="20"/>
    </row>
    <row r="439">
      <c r="B439" s="20"/>
      <c r="C439" s="20"/>
      <c r="F439" s="20"/>
    </row>
    <row r="440">
      <c r="B440" s="20"/>
      <c r="C440" s="20"/>
      <c r="F440" s="20"/>
    </row>
    <row r="441">
      <c r="B441" s="20"/>
      <c r="C441" s="20"/>
      <c r="F441" s="20"/>
    </row>
    <row r="442">
      <c r="B442" s="20"/>
      <c r="C442" s="20"/>
      <c r="F442" s="20"/>
    </row>
    <row r="443">
      <c r="B443" s="20"/>
      <c r="C443" s="20"/>
      <c r="F443" s="20"/>
    </row>
    <row r="444">
      <c r="B444" s="20"/>
      <c r="C444" s="20"/>
      <c r="F444" s="20"/>
    </row>
    <row r="445">
      <c r="B445" s="20"/>
      <c r="C445" s="20"/>
      <c r="F445" s="20"/>
    </row>
    <row r="446">
      <c r="B446" s="20"/>
      <c r="C446" s="20"/>
      <c r="F446" s="20"/>
    </row>
    <row r="447">
      <c r="B447" s="20"/>
      <c r="C447" s="20"/>
      <c r="F447" s="20"/>
    </row>
    <row r="448">
      <c r="B448" s="20"/>
      <c r="C448" s="20"/>
      <c r="F448" s="20"/>
    </row>
    <row r="449">
      <c r="B449" s="20"/>
      <c r="C449" s="20"/>
      <c r="F449" s="20"/>
    </row>
    <row r="450">
      <c r="B450" s="20"/>
      <c r="C450" s="20"/>
      <c r="F450" s="20"/>
    </row>
    <row r="451">
      <c r="B451" s="20"/>
      <c r="C451" s="20"/>
      <c r="F451" s="20"/>
    </row>
    <row r="452">
      <c r="B452" s="20"/>
      <c r="C452" s="20"/>
      <c r="F452" s="20"/>
    </row>
    <row r="453">
      <c r="B453" s="20"/>
      <c r="C453" s="20"/>
      <c r="F453" s="20"/>
    </row>
    <row r="454">
      <c r="B454" s="20"/>
      <c r="C454" s="20"/>
      <c r="F454" s="20"/>
    </row>
    <row r="455">
      <c r="B455" s="20"/>
      <c r="C455" s="20"/>
      <c r="F455" s="20"/>
    </row>
    <row r="456">
      <c r="B456" s="20"/>
      <c r="C456" s="20"/>
      <c r="F456" s="20"/>
    </row>
    <row r="457">
      <c r="B457" s="20"/>
      <c r="C457" s="20"/>
      <c r="F457" s="20"/>
    </row>
    <row r="458">
      <c r="B458" s="20"/>
      <c r="C458" s="20"/>
      <c r="F458" s="20"/>
    </row>
    <row r="459">
      <c r="B459" s="20"/>
      <c r="C459" s="20"/>
      <c r="F459" s="20"/>
    </row>
    <row r="460">
      <c r="B460" s="20"/>
      <c r="C460" s="20"/>
      <c r="F460" s="20"/>
    </row>
    <row r="461">
      <c r="B461" s="20"/>
      <c r="C461" s="20"/>
      <c r="F461" s="20"/>
    </row>
    <row r="462">
      <c r="B462" s="20"/>
      <c r="C462" s="20"/>
      <c r="F462" s="20"/>
    </row>
    <row r="463">
      <c r="B463" s="20"/>
      <c r="C463" s="20"/>
      <c r="F463" s="20"/>
    </row>
    <row r="464">
      <c r="B464" s="20"/>
      <c r="C464" s="20"/>
      <c r="F464" s="20"/>
    </row>
    <row r="465">
      <c r="B465" s="20"/>
      <c r="C465" s="20"/>
      <c r="F465" s="20"/>
    </row>
    <row r="466">
      <c r="B466" s="20"/>
      <c r="C466" s="20"/>
      <c r="F466" s="20"/>
    </row>
    <row r="467">
      <c r="B467" s="20"/>
      <c r="C467" s="20"/>
      <c r="F467" s="20"/>
    </row>
    <row r="468">
      <c r="B468" s="20"/>
      <c r="C468" s="20"/>
      <c r="F468" s="20"/>
    </row>
    <row r="469">
      <c r="B469" s="20"/>
      <c r="C469" s="20"/>
      <c r="F469" s="20"/>
    </row>
    <row r="470">
      <c r="B470" s="20"/>
      <c r="C470" s="20"/>
      <c r="F470" s="20"/>
    </row>
    <row r="471">
      <c r="B471" s="20"/>
      <c r="C471" s="20"/>
      <c r="F471" s="20"/>
    </row>
    <row r="472">
      <c r="B472" s="20"/>
      <c r="C472" s="20"/>
      <c r="F472" s="20"/>
    </row>
    <row r="473">
      <c r="B473" s="20"/>
      <c r="C473" s="20"/>
      <c r="F473" s="20"/>
    </row>
    <row r="474">
      <c r="B474" s="20"/>
      <c r="C474" s="20"/>
      <c r="F474" s="20"/>
    </row>
    <row r="475">
      <c r="B475" s="20"/>
      <c r="C475" s="20"/>
      <c r="F475" s="20"/>
    </row>
    <row r="476">
      <c r="B476" s="20"/>
      <c r="C476" s="20"/>
      <c r="F476" s="20"/>
    </row>
    <row r="477">
      <c r="B477" s="20"/>
      <c r="C477" s="20"/>
      <c r="F477" s="20"/>
    </row>
    <row r="478">
      <c r="B478" s="20"/>
      <c r="C478" s="20"/>
      <c r="F478" s="20"/>
    </row>
    <row r="479">
      <c r="B479" s="20"/>
      <c r="C479" s="20"/>
      <c r="F479" s="20"/>
    </row>
    <row r="480">
      <c r="B480" s="20"/>
      <c r="C480" s="20"/>
      <c r="F480" s="20"/>
    </row>
    <row r="481">
      <c r="B481" s="20"/>
      <c r="C481" s="20"/>
      <c r="F481" s="20"/>
    </row>
    <row r="482">
      <c r="B482" s="20"/>
      <c r="C482" s="20"/>
      <c r="F482" s="20"/>
    </row>
    <row r="483">
      <c r="B483" s="20"/>
      <c r="C483" s="20"/>
      <c r="F483" s="20"/>
    </row>
    <row r="484">
      <c r="B484" s="20"/>
      <c r="C484" s="20"/>
      <c r="F484" s="20"/>
    </row>
    <row r="485">
      <c r="B485" s="20"/>
      <c r="C485" s="20"/>
      <c r="F485" s="20"/>
    </row>
    <row r="486">
      <c r="B486" s="20"/>
      <c r="C486" s="20"/>
      <c r="F486" s="20"/>
    </row>
    <row r="487">
      <c r="B487" s="20"/>
      <c r="C487" s="20"/>
      <c r="F487" s="20"/>
    </row>
    <row r="488">
      <c r="B488" s="20"/>
      <c r="C488" s="20"/>
      <c r="F488" s="20"/>
    </row>
    <row r="489">
      <c r="B489" s="20"/>
      <c r="C489" s="20"/>
      <c r="F489" s="20"/>
    </row>
    <row r="490">
      <c r="B490" s="20"/>
      <c r="C490" s="20"/>
      <c r="F490" s="20"/>
    </row>
    <row r="491">
      <c r="B491" s="20"/>
      <c r="C491" s="20"/>
      <c r="F491" s="20"/>
    </row>
    <row r="492">
      <c r="B492" s="20"/>
      <c r="C492" s="20"/>
      <c r="F492" s="20"/>
    </row>
    <row r="493">
      <c r="B493" s="20"/>
      <c r="C493" s="20"/>
      <c r="F493" s="20"/>
    </row>
    <row r="494">
      <c r="B494" s="20"/>
      <c r="C494" s="20"/>
      <c r="F494" s="20"/>
    </row>
    <row r="495">
      <c r="B495" s="20"/>
      <c r="C495" s="20"/>
      <c r="F495" s="20"/>
    </row>
    <row r="496">
      <c r="B496" s="20"/>
      <c r="C496" s="20"/>
      <c r="F496" s="20"/>
    </row>
    <row r="497">
      <c r="B497" s="20"/>
      <c r="C497" s="20"/>
      <c r="F497" s="20"/>
    </row>
    <row r="498">
      <c r="B498" s="20"/>
      <c r="C498" s="20"/>
      <c r="F498" s="20"/>
    </row>
    <row r="499">
      <c r="B499" s="20"/>
      <c r="C499" s="20"/>
      <c r="F499" s="20"/>
    </row>
    <row r="500">
      <c r="B500" s="20"/>
      <c r="C500" s="20"/>
      <c r="F500" s="20"/>
    </row>
    <row r="501">
      <c r="B501" s="20"/>
      <c r="C501" s="20"/>
      <c r="F501" s="20"/>
    </row>
    <row r="502">
      <c r="B502" s="20"/>
      <c r="C502" s="20"/>
      <c r="F502" s="20"/>
    </row>
    <row r="503">
      <c r="B503" s="20"/>
      <c r="C503" s="20"/>
      <c r="F503" s="20"/>
    </row>
    <row r="504">
      <c r="B504" s="20"/>
      <c r="C504" s="20"/>
      <c r="F504" s="20"/>
    </row>
    <row r="505">
      <c r="B505" s="20"/>
      <c r="C505" s="20"/>
      <c r="F505" s="20"/>
    </row>
    <row r="506">
      <c r="B506" s="20"/>
      <c r="C506" s="20"/>
      <c r="F506" s="20"/>
    </row>
    <row r="507">
      <c r="B507" s="20"/>
      <c r="C507" s="20"/>
      <c r="F507" s="20"/>
    </row>
    <row r="508">
      <c r="B508" s="20"/>
      <c r="C508" s="20"/>
      <c r="F508" s="20"/>
    </row>
    <row r="509">
      <c r="B509" s="20"/>
      <c r="C509" s="20"/>
      <c r="F509" s="20"/>
    </row>
    <row r="510">
      <c r="B510" s="20"/>
      <c r="C510" s="20"/>
      <c r="F510" s="20"/>
    </row>
    <row r="511">
      <c r="B511" s="20"/>
      <c r="C511" s="20"/>
      <c r="F511" s="20"/>
    </row>
    <row r="512">
      <c r="B512" s="20"/>
      <c r="C512" s="20"/>
      <c r="F512" s="20"/>
    </row>
    <row r="513">
      <c r="B513" s="20"/>
      <c r="C513" s="20"/>
      <c r="F513" s="20"/>
    </row>
    <row r="514">
      <c r="B514" s="20"/>
      <c r="C514" s="20"/>
      <c r="F514" s="20"/>
    </row>
    <row r="515">
      <c r="B515" s="20"/>
      <c r="C515" s="20"/>
      <c r="F515" s="20"/>
    </row>
    <row r="516">
      <c r="B516" s="20"/>
      <c r="C516" s="20"/>
      <c r="F516" s="20"/>
    </row>
    <row r="517">
      <c r="B517" s="20"/>
      <c r="C517" s="20"/>
      <c r="F517" s="20"/>
    </row>
    <row r="518">
      <c r="B518" s="20"/>
      <c r="C518" s="20"/>
      <c r="F518" s="20"/>
    </row>
    <row r="519">
      <c r="B519" s="20"/>
      <c r="C519" s="20"/>
      <c r="F519" s="20"/>
    </row>
    <row r="520">
      <c r="B520" s="20"/>
      <c r="C520" s="20"/>
      <c r="F520" s="20"/>
    </row>
    <row r="521">
      <c r="B521" s="20"/>
      <c r="C521" s="20"/>
      <c r="F521" s="20"/>
    </row>
    <row r="522">
      <c r="B522" s="20"/>
      <c r="C522" s="20"/>
      <c r="F522" s="20"/>
    </row>
    <row r="523">
      <c r="B523" s="20"/>
      <c r="C523" s="20"/>
      <c r="F523" s="20"/>
    </row>
    <row r="524">
      <c r="B524" s="20"/>
      <c r="C524" s="20"/>
      <c r="F524" s="20"/>
    </row>
    <row r="525">
      <c r="B525" s="20"/>
      <c r="C525" s="20"/>
      <c r="F525" s="20"/>
    </row>
    <row r="526">
      <c r="B526" s="20"/>
      <c r="C526" s="20"/>
      <c r="F526" s="20"/>
    </row>
    <row r="527">
      <c r="B527" s="20"/>
      <c r="C527" s="20"/>
      <c r="F527" s="20"/>
    </row>
    <row r="528">
      <c r="B528" s="20"/>
      <c r="C528" s="20"/>
      <c r="F528" s="20"/>
    </row>
    <row r="529">
      <c r="B529" s="20"/>
      <c r="C529" s="20"/>
      <c r="F529" s="20"/>
    </row>
    <row r="530">
      <c r="B530" s="20"/>
      <c r="C530" s="20"/>
      <c r="F530" s="20"/>
    </row>
    <row r="531">
      <c r="B531" s="20"/>
      <c r="C531" s="20"/>
      <c r="F531" s="20"/>
    </row>
    <row r="532">
      <c r="B532" s="20"/>
      <c r="C532" s="20"/>
      <c r="F532" s="20"/>
    </row>
    <row r="533">
      <c r="B533" s="20"/>
      <c r="C533" s="20"/>
      <c r="F533" s="20"/>
    </row>
    <row r="534">
      <c r="B534" s="20"/>
      <c r="C534" s="20"/>
      <c r="F534" s="20"/>
    </row>
    <row r="535">
      <c r="B535" s="20"/>
      <c r="C535" s="20"/>
      <c r="F535" s="20"/>
    </row>
    <row r="536">
      <c r="B536" s="20"/>
      <c r="C536" s="20"/>
      <c r="F536" s="20"/>
    </row>
    <row r="537">
      <c r="B537" s="20"/>
      <c r="C537" s="20"/>
      <c r="F537" s="20"/>
    </row>
    <row r="538">
      <c r="B538" s="20"/>
      <c r="C538" s="20"/>
      <c r="F538" s="20"/>
    </row>
    <row r="539">
      <c r="B539" s="20"/>
      <c r="C539" s="20"/>
      <c r="F539" s="20"/>
    </row>
    <row r="540">
      <c r="B540" s="20"/>
      <c r="C540" s="20"/>
      <c r="F540" s="20"/>
    </row>
    <row r="541">
      <c r="B541" s="20"/>
      <c r="C541" s="20"/>
      <c r="F541" s="20"/>
    </row>
    <row r="542">
      <c r="B542" s="20"/>
      <c r="C542" s="20"/>
      <c r="F542" s="20"/>
    </row>
    <row r="543">
      <c r="B543" s="20"/>
      <c r="C543" s="20"/>
      <c r="F543" s="20"/>
    </row>
    <row r="544">
      <c r="B544" s="20"/>
      <c r="C544" s="20"/>
      <c r="F544" s="20"/>
    </row>
    <row r="545">
      <c r="B545" s="20"/>
      <c r="C545" s="20"/>
      <c r="F545" s="20"/>
    </row>
    <row r="546">
      <c r="B546" s="20"/>
      <c r="C546" s="20"/>
      <c r="F546" s="20"/>
    </row>
    <row r="547">
      <c r="B547" s="20"/>
      <c r="C547" s="20"/>
      <c r="F547" s="20"/>
    </row>
    <row r="548">
      <c r="B548" s="20"/>
      <c r="C548" s="20"/>
      <c r="F548" s="20"/>
    </row>
    <row r="549">
      <c r="B549" s="20"/>
      <c r="C549" s="20"/>
      <c r="F549" s="20"/>
    </row>
    <row r="550">
      <c r="B550" s="20"/>
      <c r="C550" s="20"/>
      <c r="F550" s="20"/>
    </row>
    <row r="551">
      <c r="B551" s="20"/>
      <c r="C551" s="20"/>
      <c r="F551" s="20"/>
    </row>
    <row r="552">
      <c r="B552" s="20"/>
      <c r="C552" s="20"/>
      <c r="F552" s="20"/>
    </row>
    <row r="553">
      <c r="B553" s="20"/>
      <c r="C553" s="20"/>
      <c r="F553" s="20"/>
    </row>
    <row r="554">
      <c r="B554" s="20"/>
      <c r="C554" s="20"/>
      <c r="F554" s="20"/>
    </row>
    <row r="555">
      <c r="B555" s="20"/>
      <c r="C555" s="20"/>
      <c r="F555" s="20"/>
    </row>
    <row r="556">
      <c r="B556" s="20"/>
      <c r="C556" s="20"/>
      <c r="F556" s="20"/>
    </row>
    <row r="557">
      <c r="B557" s="20"/>
      <c r="C557" s="20"/>
      <c r="F557" s="20"/>
    </row>
    <row r="558">
      <c r="B558" s="20"/>
      <c r="C558" s="20"/>
      <c r="F558" s="20"/>
    </row>
    <row r="559">
      <c r="B559" s="20"/>
      <c r="C559" s="20"/>
      <c r="F559" s="20"/>
    </row>
    <row r="560">
      <c r="B560" s="20"/>
      <c r="C560" s="20"/>
      <c r="F560" s="20"/>
    </row>
    <row r="561">
      <c r="B561" s="20"/>
      <c r="C561" s="20"/>
      <c r="F561" s="20"/>
    </row>
    <row r="562">
      <c r="B562" s="20"/>
      <c r="C562" s="20"/>
      <c r="F562" s="20"/>
    </row>
    <row r="563">
      <c r="B563" s="20"/>
      <c r="C563" s="20"/>
      <c r="F563" s="20"/>
    </row>
    <row r="564">
      <c r="B564" s="20"/>
      <c r="C564" s="20"/>
      <c r="F564" s="20"/>
    </row>
    <row r="565">
      <c r="B565" s="20"/>
      <c r="C565" s="20"/>
      <c r="F565" s="20"/>
    </row>
    <row r="566">
      <c r="B566" s="20"/>
      <c r="C566" s="20"/>
      <c r="F566" s="20"/>
    </row>
    <row r="567">
      <c r="B567" s="20"/>
      <c r="C567" s="20"/>
      <c r="F567" s="20"/>
    </row>
    <row r="568">
      <c r="B568" s="20"/>
      <c r="C568" s="20"/>
      <c r="F568" s="20"/>
    </row>
    <row r="569">
      <c r="B569" s="20"/>
      <c r="C569" s="20"/>
      <c r="F569" s="20"/>
    </row>
    <row r="570">
      <c r="B570" s="20"/>
      <c r="C570" s="20"/>
      <c r="F570" s="20"/>
    </row>
    <row r="571">
      <c r="B571" s="20"/>
      <c r="C571" s="20"/>
      <c r="F571" s="20"/>
    </row>
    <row r="572">
      <c r="B572" s="20"/>
      <c r="C572" s="20"/>
      <c r="F572" s="20"/>
    </row>
    <row r="573">
      <c r="B573" s="20"/>
      <c r="C573" s="20"/>
      <c r="F573" s="20"/>
    </row>
    <row r="574">
      <c r="B574" s="20"/>
      <c r="C574" s="20"/>
      <c r="F574" s="20"/>
    </row>
    <row r="575">
      <c r="B575" s="20"/>
      <c r="C575" s="20"/>
      <c r="F575" s="20"/>
    </row>
    <row r="576">
      <c r="B576" s="20"/>
      <c r="C576" s="20"/>
      <c r="F576" s="20"/>
    </row>
    <row r="577">
      <c r="B577" s="20"/>
      <c r="C577" s="20"/>
      <c r="F577" s="20"/>
    </row>
    <row r="578">
      <c r="B578" s="20"/>
      <c r="C578" s="20"/>
      <c r="F578" s="20"/>
    </row>
    <row r="579">
      <c r="B579" s="20"/>
      <c r="C579" s="20"/>
      <c r="F579" s="20"/>
    </row>
    <row r="580">
      <c r="B580" s="20"/>
      <c r="C580" s="20"/>
      <c r="F580" s="20"/>
    </row>
    <row r="581">
      <c r="B581" s="20"/>
      <c r="C581" s="20"/>
      <c r="F581" s="20"/>
    </row>
    <row r="582">
      <c r="B582" s="20"/>
      <c r="C582" s="20"/>
      <c r="F582" s="20"/>
    </row>
    <row r="583">
      <c r="B583" s="20"/>
      <c r="C583" s="20"/>
      <c r="F583" s="20"/>
    </row>
    <row r="584">
      <c r="B584" s="20"/>
      <c r="C584" s="20"/>
      <c r="F584" s="20"/>
    </row>
    <row r="585">
      <c r="B585" s="20"/>
      <c r="C585" s="20"/>
      <c r="F585" s="20"/>
    </row>
    <row r="586">
      <c r="B586" s="20"/>
      <c r="C586" s="20"/>
      <c r="F586" s="20"/>
    </row>
    <row r="587">
      <c r="B587" s="20"/>
      <c r="C587" s="20"/>
      <c r="F587" s="20"/>
    </row>
    <row r="588">
      <c r="B588" s="20"/>
      <c r="C588" s="20"/>
      <c r="F588" s="20"/>
    </row>
    <row r="589">
      <c r="B589" s="20"/>
      <c r="C589" s="20"/>
      <c r="F589" s="20"/>
    </row>
    <row r="590">
      <c r="B590" s="20"/>
      <c r="C590" s="20"/>
      <c r="F590" s="20"/>
    </row>
    <row r="591">
      <c r="B591" s="20"/>
      <c r="C591" s="20"/>
      <c r="F591" s="20"/>
    </row>
    <row r="592">
      <c r="B592" s="20"/>
      <c r="C592" s="20"/>
      <c r="F592" s="20"/>
    </row>
    <row r="593">
      <c r="B593" s="20"/>
      <c r="C593" s="20"/>
      <c r="F593" s="20"/>
    </row>
    <row r="594">
      <c r="B594" s="20"/>
      <c r="C594" s="20"/>
      <c r="F594" s="20"/>
    </row>
    <row r="595">
      <c r="B595" s="20"/>
      <c r="C595" s="20"/>
      <c r="F595" s="20"/>
    </row>
    <row r="596">
      <c r="B596" s="20"/>
      <c r="C596" s="20"/>
      <c r="F596" s="20"/>
    </row>
    <row r="597">
      <c r="B597" s="20"/>
      <c r="C597" s="20"/>
      <c r="F597" s="20"/>
    </row>
    <row r="598">
      <c r="B598" s="20"/>
      <c r="C598" s="20"/>
      <c r="F598" s="20"/>
    </row>
    <row r="599">
      <c r="B599" s="20"/>
      <c r="C599" s="20"/>
      <c r="F599" s="20"/>
    </row>
    <row r="600">
      <c r="B600" s="20"/>
      <c r="C600" s="20"/>
      <c r="F600" s="20"/>
    </row>
    <row r="601">
      <c r="B601" s="20"/>
      <c r="C601" s="20"/>
      <c r="F601" s="20"/>
    </row>
    <row r="602">
      <c r="B602" s="20"/>
      <c r="C602" s="20"/>
      <c r="F602" s="20"/>
    </row>
    <row r="603">
      <c r="B603" s="20"/>
      <c r="C603" s="20"/>
      <c r="F603" s="20"/>
    </row>
    <row r="604">
      <c r="B604" s="20"/>
      <c r="C604" s="20"/>
      <c r="F604" s="20"/>
    </row>
    <row r="605">
      <c r="B605" s="20"/>
      <c r="C605" s="20"/>
      <c r="F605" s="20"/>
    </row>
    <row r="606">
      <c r="B606" s="20"/>
      <c r="C606" s="20"/>
      <c r="F606" s="20"/>
    </row>
    <row r="607">
      <c r="B607" s="20"/>
      <c r="C607" s="20"/>
      <c r="F607" s="20"/>
    </row>
    <row r="608">
      <c r="B608" s="20"/>
      <c r="C608" s="20"/>
      <c r="F608" s="20"/>
    </row>
    <row r="609">
      <c r="B609" s="20"/>
      <c r="C609" s="20"/>
      <c r="F609" s="20"/>
    </row>
    <row r="610">
      <c r="B610" s="20"/>
      <c r="C610" s="20"/>
      <c r="F610" s="20"/>
    </row>
    <row r="611">
      <c r="B611" s="20"/>
      <c r="C611" s="20"/>
      <c r="F611" s="20"/>
    </row>
    <row r="612">
      <c r="B612" s="20"/>
      <c r="C612" s="20"/>
      <c r="F612" s="20"/>
    </row>
    <row r="613">
      <c r="B613" s="20"/>
      <c r="C613" s="20"/>
      <c r="F613" s="20"/>
    </row>
    <row r="614">
      <c r="B614" s="20"/>
      <c r="C614" s="20"/>
      <c r="F614" s="20"/>
    </row>
    <row r="615">
      <c r="B615" s="20"/>
      <c r="C615" s="20"/>
      <c r="F615" s="20"/>
    </row>
    <row r="616">
      <c r="B616" s="20"/>
      <c r="C616" s="20"/>
      <c r="F616" s="20"/>
    </row>
    <row r="617">
      <c r="B617" s="20"/>
      <c r="C617" s="20"/>
      <c r="F617" s="20"/>
    </row>
    <row r="618">
      <c r="B618" s="20"/>
      <c r="C618" s="20"/>
      <c r="F618" s="20"/>
    </row>
    <row r="619">
      <c r="B619" s="20"/>
      <c r="C619" s="20"/>
      <c r="F619" s="20"/>
    </row>
    <row r="620">
      <c r="B620" s="20"/>
      <c r="C620" s="20"/>
      <c r="F620" s="20"/>
    </row>
    <row r="621">
      <c r="B621" s="20"/>
      <c r="C621" s="20"/>
      <c r="F621" s="20"/>
    </row>
    <row r="622">
      <c r="B622" s="20"/>
      <c r="C622" s="20"/>
      <c r="F622" s="20"/>
    </row>
    <row r="623">
      <c r="B623" s="20"/>
      <c r="C623" s="20"/>
      <c r="F623" s="20"/>
    </row>
    <row r="624">
      <c r="B624" s="20"/>
      <c r="C624" s="20"/>
      <c r="F624" s="20"/>
    </row>
    <row r="625">
      <c r="B625" s="20"/>
      <c r="C625" s="20"/>
      <c r="F625" s="20"/>
    </row>
    <row r="626">
      <c r="B626" s="20"/>
      <c r="C626" s="20"/>
      <c r="F626" s="20"/>
    </row>
    <row r="627">
      <c r="B627" s="20"/>
      <c r="C627" s="20"/>
      <c r="F627" s="20"/>
    </row>
    <row r="628">
      <c r="B628" s="20"/>
      <c r="C628" s="20"/>
      <c r="F628" s="20"/>
    </row>
    <row r="629">
      <c r="B629" s="20"/>
      <c r="C629" s="20"/>
      <c r="F629" s="20"/>
    </row>
    <row r="630">
      <c r="B630" s="20"/>
      <c r="C630" s="20"/>
      <c r="F630" s="20"/>
    </row>
    <row r="631">
      <c r="B631" s="20"/>
      <c r="C631" s="20"/>
      <c r="F631" s="20"/>
    </row>
    <row r="632">
      <c r="B632" s="20"/>
      <c r="C632" s="20"/>
      <c r="F632" s="20"/>
    </row>
    <row r="633">
      <c r="B633" s="20"/>
      <c r="C633" s="20"/>
      <c r="F633" s="20"/>
    </row>
    <row r="634">
      <c r="B634" s="20"/>
      <c r="C634" s="20"/>
      <c r="F634" s="20"/>
    </row>
    <row r="635">
      <c r="B635" s="20"/>
      <c r="C635" s="20"/>
      <c r="F635" s="20"/>
    </row>
    <row r="636">
      <c r="B636" s="20"/>
      <c r="C636" s="20"/>
      <c r="F636" s="20"/>
    </row>
    <row r="637">
      <c r="B637" s="20"/>
      <c r="C637" s="20"/>
      <c r="F637" s="20"/>
    </row>
    <row r="638">
      <c r="B638" s="20"/>
      <c r="C638" s="20"/>
      <c r="F638" s="20"/>
    </row>
    <row r="639">
      <c r="B639" s="20"/>
      <c r="C639" s="20"/>
      <c r="F639" s="20"/>
    </row>
    <row r="640">
      <c r="B640" s="20"/>
      <c r="C640" s="20"/>
      <c r="F640" s="20"/>
    </row>
    <row r="641">
      <c r="B641" s="20"/>
      <c r="C641" s="20"/>
      <c r="F641" s="20"/>
    </row>
    <row r="642">
      <c r="B642" s="20"/>
      <c r="C642" s="20"/>
      <c r="F642" s="20"/>
    </row>
    <row r="643">
      <c r="B643" s="20"/>
      <c r="C643" s="20"/>
      <c r="F643" s="20"/>
    </row>
    <row r="644">
      <c r="B644" s="20"/>
      <c r="C644" s="20"/>
      <c r="F644" s="20"/>
    </row>
    <row r="645">
      <c r="B645" s="20"/>
      <c r="C645" s="20"/>
      <c r="F645" s="20"/>
    </row>
    <row r="646">
      <c r="B646" s="20"/>
      <c r="C646" s="20"/>
      <c r="F646" s="20"/>
    </row>
    <row r="647">
      <c r="B647" s="20"/>
      <c r="C647" s="20"/>
      <c r="F647" s="20"/>
    </row>
    <row r="648">
      <c r="B648" s="20"/>
      <c r="C648" s="20"/>
      <c r="F648" s="20"/>
    </row>
    <row r="649">
      <c r="B649" s="20"/>
      <c r="C649" s="20"/>
      <c r="F649" s="20"/>
    </row>
    <row r="650">
      <c r="B650" s="20"/>
      <c r="C650" s="20"/>
      <c r="F650" s="20"/>
    </row>
    <row r="651">
      <c r="B651" s="20"/>
      <c r="C651" s="20"/>
      <c r="F651" s="20"/>
    </row>
    <row r="652">
      <c r="B652" s="20"/>
      <c r="C652" s="20"/>
      <c r="F652" s="20"/>
    </row>
    <row r="653">
      <c r="B653" s="20"/>
      <c r="C653" s="20"/>
      <c r="F653" s="20"/>
    </row>
    <row r="654">
      <c r="B654" s="20"/>
      <c r="C654" s="20"/>
      <c r="F654" s="20"/>
    </row>
    <row r="655">
      <c r="B655" s="20"/>
      <c r="C655" s="20"/>
      <c r="F655" s="20"/>
    </row>
    <row r="656">
      <c r="B656" s="20"/>
      <c r="C656" s="20"/>
      <c r="F656" s="20"/>
    </row>
    <row r="657">
      <c r="B657" s="20"/>
      <c r="C657" s="20"/>
      <c r="F657" s="20"/>
    </row>
    <row r="658">
      <c r="B658" s="20"/>
      <c r="C658" s="20"/>
      <c r="F658" s="20"/>
    </row>
    <row r="659">
      <c r="B659" s="20"/>
      <c r="C659" s="20"/>
      <c r="F659" s="20"/>
    </row>
    <row r="660">
      <c r="B660" s="20"/>
      <c r="C660" s="20"/>
      <c r="F660" s="20"/>
    </row>
    <row r="661">
      <c r="B661" s="20"/>
      <c r="C661" s="20"/>
      <c r="F661" s="20"/>
    </row>
    <row r="662">
      <c r="B662" s="20"/>
      <c r="C662" s="20"/>
      <c r="F662" s="20"/>
    </row>
    <row r="663">
      <c r="B663" s="20"/>
      <c r="C663" s="20"/>
      <c r="F663" s="20"/>
    </row>
    <row r="664">
      <c r="B664" s="20"/>
      <c r="C664" s="20"/>
      <c r="F664" s="20"/>
    </row>
    <row r="665">
      <c r="B665" s="20"/>
      <c r="C665" s="20"/>
      <c r="F665" s="20"/>
    </row>
    <row r="666">
      <c r="B666" s="20"/>
      <c r="C666" s="20"/>
      <c r="F666" s="20"/>
    </row>
    <row r="667">
      <c r="B667" s="20"/>
      <c r="C667" s="20"/>
      <c r="F667" s="20"/>
    </row>
    <row r="668">
      <c r="B668" s="20"/>
      <c r="C668" s="20"/>
      <c r="F668" s="20"/>
    </row>
    <row r="669">
      <c r="B669" s="20"/>
      <c r="C669" s="20"/>
      <c r="F669" s="20"/>
    </row>
    <row r="670">
      <c r="B670" s="20"/>
      <c r="C670" s="20"/>
      <c r="F670" s="20"/>
    </row>
    <row r="671">
      <c r="B671" s="20"/>
      <c r="C671" s="20"/>
      <c r="F671" s="20"/>
    </row>
    <row r="672">
      <c r="B672" s="20"/>
      <c r="C672" s="20"/>
      <c r="F672" s="20"/>
    </row>
    <row r="673">
      <c r="B673" s="20"/>
      <c r="C673" s="20"/>
      <c r="F673" s="20"/>
    </row>
    <row r="674">
      <c r="B674" s="20"/>
      <c r="C674" s="20"/>
      <c r="F674" s="20"/>
    </row>
    <row r="675">
      <c r="B675" s="20"/>
      <c r="C675" s="20"/>
      <c r="F675" s="20"/>
    </row>
    <row r="676">
      <c r="B676" s="20"/>
      <c r="C676" s="20"/>
      <c r="F676" s="20"/>
    </row>
    <row r="677">
      <c r="B677" s="20"/>
      <c r="C677" s="20"/>
      <c r="F677" s="20"/>
    </row>
    <row r="678">
      <c r="B678" s="20"/>
      <c r="C678" s="20"/>
      <c r="F678" s="20"/>
    </row>
    <row r="679">
      <c r="B679" s="20"/>
      <c r="C679" s="20"/>
      <c r="F679" s="20"/>
    </row>
    <row r="680">
      <c r="B680" s="20"/>
      <c r="C680" s="20"/>
      <c r="F680" s="20"/>
    </row>
    <row r="681">
      <c r="B681" s="20"/>
      <c r="C681" s="20"/>
      <c r="F681" s="20"/>
    </row>
    <row r="682">
      <c r="B682" s="20"/>
      <c r="C682" s="20"/>
      <c r="F682" s="20"/>
    </row>
    <row r="683">
      <c r="B683" s="20"/>
      <c r="C683" s="20"/>
      <c r="F683" s="20"/>
    </row>
    <row r="684">
      <c r="B684" s="20"/>
      <c r="C684" s="20"/>
      <c r="F684" s="20"/>
    </row>
    <row r="685">
      <c r="B685" s="20"/>
      <c r="C685" s="20"/>
      <c r="F685" s="20"/>
    </row>
    <row r="686">
      <c r="B686" s="20"/>
      <c r="C686" s="20"/>
      <c r="F686" s="20"/>
    </row>
    <row r="687">
      <c r="B687" s="20"/>
      <c r="C687" s="20"/>
      <c r="F687" s="20"/>
    </row>
    <row r="688">
      <c r="B688" s="20"/>
      <c r="C688" s="20"/>
      <c r="F688" s="20"/>
    </row>
    <row r="689">
      <c r="B689" s="20"/>
      <c r="C689" s="20"/>
      <c r="F689" s="20"/>
    </row>
    <row r="690">
      <c r="B690" s="20"/>
      <c r="C690" s="20"/>
      <c r="F690" s="20"/>
    </row>
    <row r="691">
      <c r="B691" s="20"/>
      <c r="C691" s="20"/>
      <c r="F691" s="20"/>
    </row>
    <row r="692">
      <c r="B692" s="20"/>
      <c r="C692" s="20"/>
      <c r="F692" s="20"/>
    </row>
    <row r="693">
      <c r="B693" s="20"/>
      <c r="C693" s="20"/>
      <c r="F693" s="20"/>
    </row>
    <row r="694">
      <c r="B694" s="20"/>
      <c r="C694" s="20"/>
      <c r="F694" s="20"/>
    </row>
    <row r="695">
      <c r="B695" s="20"/>
      <c r="C695" s="20"/>
      <c r="F695" s="20"/>
    </row>
    <row r="696">
      <c r="B696" s="20"/>
      <c r="C696" s="20"/>
      <c r="F696" s="20"/>
    </row>
    <row r="697">
      <c r="B697" s="20"/>
      <c r="C697" s="20"/>
      <c r="F697" s="20"/>
    </row>
    <row r="698">
      <c r="B698" s="20"/>
      <c r="C698" s="20"/>
      <c r="F698" s="20"/>
    </row>
    <row r="699">
      <c r="B699" s="20"/>
      <c r="C699" s="20"/>
      <c r="F699" s="20"/>
    </row>
    <row r="700">
      <c r="B700" s="20"/>
      <c r="C700" s="20"/>
      <c r="F700" s="20"/>
    </row>
    <row r="701">
      <c r="B701" s="20"/>
      <c r="C701" s="20"/>
      <c r="F701" s="20"/>
    </row>
    <row r="702">
      <c r="B702" s="20"/>
      <c r="C702" s="20"/>
      <c r="F702" s="20"/>
    </row>
    <row r="703">
      <c r="B703" s="20"/>
      <c r="C703" s="20"/>
      <c r="F703" s="20"/>
    </row>
    <row r="704">
      <c r="B704" s="20"/>
      <c r="C704" s="20"/>
      <c r="F704" s="20"/>
    </row>
    <row r="705">
      <c r="B705" s="20"/>
      <c r="C705" s="20"/>
      <c r="F705" s="20"/>
    </row>
    <row r="706">
      <c r="B706" s="20"/>
      <c r="C706" s="20"/>
      <c r="F706" s="20"/>
    </row>
    <row r="707">
      <c r="B707" s="20"/>
      <c r="C707" s="20"/>
      <c r="F707" s="20"/>
    </row>
    <row r="708">
      <c r="B708" s="20"/>
      <c r="C708" s="20"/>
      <c r="F708" s="20"/>
    </row>
    <row r="709">
      <c r="B709" s="20"/>
      <c r="C709" s="20"/>
      <c r="F709" s="20"/>
    </row>
    <row r="710">
      <c r="B710" s="20"/>
      <c r="C710" s="20"/>
      <c r="F710" s="20"/>
    </row>
    <row r="711">
      <c r="B711" s="20"/>
      <c r="C711" s="20"/>
      <c r="F711" s="20"/>
    </row>
    <row r="712">
      <c r="B712" s="20"/>
      <c r="C712" s="20"/>
      <c r="F712" s="20"/>
    </row>
    <row r="713">
      <c r="B713" s="20"/>
      <c r="C713" s="20"/>
      <c r="F713" s="20"/>
    </row>
    <row r="714">
      <c r="B714" s="20"/>
      <c r="C714" s="20"/>
      <c r="F714" s="20"/>
    </row>
    <row r="715">
      <c r="B715" s="20"/>
      <c r="C715" s="20"/>
      <c r="F715" s="20"/>
    </row>
    <row r="716">
      <c r="B716" s="20"/>
      <c r="C716" s="20"/>
      <c r="F716" s="20"/>
    </row>
    <row r="717">
      <c r="B717" s="20"/>
      <c r="C717" s="20"/>
      <c r="F717" s="20"/>
    </row>
    <row r="718">
      <c r="B718" s="20"/>
      <c r="C718" s="20"/>
      <c r="F718" s="20"/>
    </row>
    <row r="719">
      <c r="B719" s="20"/>
      <c r="C719" s="20"/>
      <c r="F719" s="20"/>
    </row>
    <row r="720">
      <c r="B720" s="20"/>
      <c r="C720" s="20"/>
      <c r="F720" s="20"/>
    </row>
    <row r="721">
      <c r="B721" s="20"/>
      <c r="C721" s="20"/>
      <c r="F721" s="20"/>
    </row>
    <row r="722">
      <c r="B722" s="20"/>
      <c r="C722" s="20"/>
      <c r="F722" s="20"/>
    </row>
    <row r="723">
      <c r="B723" s="20"/>
      <c r="C723" s="20"/>
      <c r="F723" s="20"/>
    </row>
    <row r="724">
      <c r="B724" s="20"/>
      <c r="C724" s="20"/>
      <c r="F724" s="20"/>
    </row>
    <row r="725">
      <c r="B725" s="20"/>
      <c r="C725" s="20"/>
      <c r="F725" s="20"/>
    </row>
    <row r="726">
      <c r="B726" s="20"/>
      <c r="C726" s="20"/>
      <c r="F726" s="20"/>
    </row>
    <row r="727">
      <c r="B727" s="20"/>
      <c r="C727" s="20"/>
      <c r="F727" s="20"/>
    </row>
    <row r="728">
      <c r="B728" s="20"/>
      <c r="C728" s="20"/>
      <c r="F728" s="20"/>
    </row>
    <row r="729">
      <c r="B729" s="20"/>
      <c r="C729" s="20"/>
      <c r="F729" s="20"/>
    </row>
    <row r="730">
      <c r="B730" s="20"/>
      <c r="C730" s="20"/>
      <c r="F730" s="20"/>
    </row>
    <row r="731">
      <c r="B731" s="20"/>
      <c r="C731" s="20"/>
      <c r="F731" s="20"/>
    </row>
    <row r="732">
      <c r="B732" s="20"/>
      <c r="C732" s="20"/>
      <c r="F732" s="20"/>
    </row>
    <row r="733">
      <c r="B733" s="20"/>
      <c r="C733" s="20"/>
      <c r="F733" s="20"/>
    </row>
    <row r="734">
      <c r="B734" s="20"/>
      <c r="C734" s="20"/>
      <c r="F734" s="20"/>
    </row>
    <row r="735">
      <c r="B735" s="20"/>
      <c r="C735" s="20"/>
      <c r="F735" s="20"/>
    </row>
    <row r="736">
      <c r="B736" s="20"/>
      <c r="C736" s="20"/>
      <c r="F736" s="20"/>
    </row>
    <row r="737">
      <c r="B737" s="20"/>
      <c r="C737" s="20"/>
      <c r="F737" s="20"/>
    </row>
    <row r="738">
      <c r="B738" s="20"/>
      <c r="C738" s="20"/>
      <c r="F738" s="20"/>
    </row>
    <row r="739">
      <c r="B739" s="20"/>
      <c r="C739" s="20"/>
      <c r="F739" s="20"/>
    </row>
    <row r="740">
      <c r="B740" s="20"/>
      <c r="C740" s="20"/>
      <c r="F740" s="20"/>
    </row>
    <row r="741">
      <c r="B741" s="20"/>
      <c r="C741" s="20"/>
      <c r="F741" s="20"/>
    </row>
    <row r="742">
      <c r="B742" s="20"/>
      <c r="C742" s="20"/>
      <c r="F742" s="20"/>
    </row>
    <row r="743">
      <c r="B743" s="20"/>
      <c r="C743" s="20"/>
      <c r="F743" s="20"/>
    </row>
    <row r="744">
      <c r="B744" s="20"/>
      <c r="C744" s="20"/>
      <c r="F744" s="20"/>
    </row>
    <row r="745">
      <c r="B745" s="20"/>
      <c r="C745" s="20"/>
      <c r="F745" s="20"/>
    </row>
    <row r="746">
      <c r="B746" s="20"/>
      <c r="C746" s="20"/>
      <c r="F746" s="20"/>
    </row>
    <row r="747">
      <c r="B747" s="20"/>
      <c r="C747" s="20"/>
      <c r="F747" s="20"/>
    </row>
    <row r="748">
      <c r="B748" s="20"/>
      <c r="C748" s="20"/>
      <c r="F748" s="20"/>
    </row>
    <row r="749">
      <c r="B749" s="20"/>
      <c r="C749" s="20"/>
      <c r="F749" s="20"/>
    </row>
    <row r="750">
      <c r="B750" s="20"/>
      <c r="C750" s="20"/>
      <c r="F750" s="20"/>
    </row>
    <row r="751">
      <c r="B751" s="20"/>
      <c r="C751" s="20"/>
      <c r="F751" s="20"/>
    </row>
    <row r="752">
      <c r="B752" s="20"/>
      <c r="C752" s="20"/>
      <c r="F752" s="20"/>
    </row>
    <row r="753">
      <c r="B753" s="20"/>
      <c r="C753" s="20"/>
      <c r="F753" s="20"/>
    </row>
    <row r="754">
      <c r="B754" s="20"/>
      <c r="C754" s="20"/>
      <c r="F754" s="20"/>
    </row>
    <row r="755">
      <c r="B755" s="20"/>
      <c r="C755" s="20"/>
      <c r="F755" s="20"/>
    </row>
    <row r="756">
      <c r="B756" s="20"/>
      <c r="C756" s="20"/>
      <c r="F756" s="20"/>
    </row>
    <row r="757">
      <c r="B757" s="20"/>
      <c r="C757" s="20"/>
      <c r="F757" s="20"/>
    </row>
    <row r="758">
      <c r="B758" s="20"/>
      <c r="C758" s="20"/>
      <c r="F758" s="20"/>
    </row>
    <row r="759">
      <c r="B759" s="20"/>
      <c r="C759" s="20"/>
      <c r="F759" s="20"/>
    </row>
    <row r="760">
      <c r="B760" s="20"/>
      <c r="C760" s="20"/>
      <c r="F760" s="20"/>
    </row>
    <row r="761">
      <c r="B761" s="20"/>
      <c r="C761" s="20"/>
      <c r="F761" s="20"/>
    </row>
    <row r="762">
      <c r="B762" s="20"/>
      <c r="C762" s="20"/>
      <c r="F762" s="20"/>
    </row>
    <row r="763">
      <c r="B763" s="20"/>
      <c r="C763" s="20"/>
      <c r="F763" s="20"/>
    </row>
    <row r="764">
      <c r="B764" s="20"/>
      <c r="C764" s="20"/>
      <c r="F764" s="20"/>
    </row>
    <row r="765">
      <c r="B765" s="20"/>
      <c r="C765" s="20"/>
      <c r="F765" s="20"/>
    </row>
    <row r="766">
      <c r="B766" s="20"/>
      <c r="C766" s="20"/>
      <c r="F766" s="20"/>
    </row>
    <row r="767">
      <c r="B767" s="20"/>
      <c r="C767" s="20"/>
      <c r="F767" s="20"/>
    </row>
    <row r="768">
      <c r="B768" s="20"/>
      <c r="C768" s="20"/>
      <c r="F768" s="20"/>
    </row>
    <row r="769">
      <c r="B769" s="20"/>
      <c r="C769" s="20"/>
      <c r="F769" s="20"/>
    </row>
    <row r="770">
      <c r="B770" s="20"/>
      <c r="C770" s="20"/>
      <c r="F770" s="20"/>
    </row>
    <row r="771">
      <c r="B771" s="20"/>
      <c r="C771" s="20"/>
      <c r="F771" s="20"/>
    </row>
    <row r="772">
      <c r="B772" s="20"/>
      <c r="C772" s="20"/>
      <c r="F772" s="20"/>
    </row>
    <row r="773">
      <c r="B773" s="20"/>
      <c r="C773" s="20"/>
      <c r="F773" s="20"/>
    </row>
    <row r="774">
      <c r="B774" s="20"/>
      <c r="C774" s="20"/>
      <c r="F774" s="20"/>
    </row>
    <row r="775">
      <c r="B775" s="20"/>
      <c r="C775" s="20"/>
      <c r="F775" s="20"/>
    </row>
    <row r="776">
      <c r="B776" s="20"/>
      <c r="C776" s="20"/>
      <c r="F776" s="20"/>
    </row>
    <row r="777">
      <c r="B777" s="20"/>
      <c r="C777" s="20"/>
      <c r="F777" s="20"/>
    </row>
    <row r="778">
      <c r="B778" s="20"/>
      <c r="C778" s="20"/>
      <c r="F778" s="20"/>
    </row>
    <row r="779">
      <c r="B779" s="20"/>
      <c r="C779" s="20"/>
      <c r="F779" s="20"/>
    </row>
    <row r="780">
      <c r="B780" s="20"/>
      <c r="C780" s="20"/>
      <c r="F780" s="20"/>
    </row>
    <row r="781">
      <c r="B781" s="20"/>
      <c r="C781" s="20"/>
      <c r="F781" s="20"/>
    </row>
    <row r="782">
      <c r="B782" s="20"/>
      <c r="C782" s="20"/>
      <c r="F782" s="20"/>
    </row>
    <row r="783">
      <c r="B783" s="20"/>
      <c r="C783" s="20"/>
      <c r="F783" s="20"/>
    </row>
    <row r="784">
      <c r="B784" s="20"/>
      <c r="C784" s="20"/>
      <c r="F784" s="20"/>
    </row>
    <row r="785">
      <c r="B785" s="20"/>
      <c r="C785" s="20"/>
      <c r="F785" s="20"/>
    </row>
    <row r="786">
      <c r="B786" s="20"/>
      <c r="C786" s="20"/>
      <c r="F786" s="20"/>
    </row>
    <row r="787">
      <c r="B787" s="20"/>
      <c r="C787" s="20"/>
      <c r="F787" s="20"/>
    </row>
    <row r="788">
      <c r="B788" s="20"/>
      <c r="C788" s="20"/>
      <c r="F788" s="20"/>
    </row>
    <row r="789">
      <c r="B789" s="20"/>
      <c r="C789" s="20"/>
      <c r="F789" s="20"/>
    </row>
    <row r="790">
      <c r="B790" s="20"/>
      <c r="C790" s="20"/>
      <c r="F790" s="20"/>
    </row>
    <row r="791">
      <c r="B791" s="20"/>
      <c r="C791" s="20"/>
      <c r="F791" s="20"/>
    </row>
    <row r="792">
      <c r="B792" s="20"/>
      <c r="C792" s="20"/>
      <c r="F792" s="20"/>
    </row>
    <row r="793">
      <c r="B793" s="20"/>
      <c r="C793" s="20"/>
      <c r="F793" s="20"/>
    </row>
    <row r="794">
      <c r="B794" s="20"/>
      <c r="C794" s="20"/>
      <c r="F794" s="20"/>
    </row>
    <row r="795">
      <c r="B795" s="20"/>
      <c r="C795" s="20"/>
      <c r="F795" s="20"/>
    </row>
    <row r="796">
      <c r="B796" s="20"/>
      <c r="C796" s="20"/>
      <c r="F796" s="20"/>
    </row>
    <row r="797">
      <c r="B797" s="20"/>
      <c r="C797" s="20"/>
      <c r="F797" s="20"/>
    </row>
    <row r="798">
      <c r="B798" s="20"/>
      <c r="C798" s="20"/>
      <c r="F798" s="20"/>
    </row>
    <row r="799">
      <c r="B799" s="20"/>
      <c r="C799" s="20"/>
      <c r="F799" s="20"/>
    </row>
    <row r="800">
      <c r="B800" s="20"/>
      <c r="C800" s="20"/>
      <c r="F800" s="20"/>
    </row>
    <row r="801">
      <c r="B801" s="20"/>
      <c r="C801" s="20"/>
      <c r="F801" s="20"/>
    </row>
    <row r="802">
      <c r="B802" s="20"/>
      <c r="C802" s="20"/>
      <c r="F802" s="20"/>
    </row>
    <row r="803">
      <c r="B803" s="20"/>
      <c r="C803" s="20"/>
      <c r="F803" s="20"/>
    </row>
    <row r="804">
      <c r="B804" s="20"/>
      <c r="C804" s="20"/>
      <c r="F804" s="20"/>
    </row>
    <row r="805">
      <c r="B805" s="20"/>
      <c r="C805" s="20"/>
      <c r="F805" s="20"/>
    </row>
    <row r="806">
      <c r="B806" s="20"/>
      <c r="C806" s="20"/>
      <c r="F806" s="20"/>
    </row>
    <row r="807">
      <c r="B807" s="20"/>
      <c r="C807" s="20"/>
      <c r="F807" s="20"/>
    </row>
    <row r="808">
      <c r="B808" s="20"/>
      <c r="C808" s="20"/>
      <c r="F808" s="20"/>
    </row>
    <row r="809">
      <c r="B809" s="20"/>
      <c r="C809" s="20"/>
      <c r="F809" s="20"/>
    </row>
    <row r="810">
      <c r="B810" s="20"/>
      <c r="C810" s="20"/>
      <c r="F810" s="20"/>
    </row>
    <row r="811">
      <c r="B811" s="20"/>
      <c r="C811" s="20"/>
      <c r="F811" s="20"/>
    </row>
    <row r="812">
      <c r="B812" s="20"/>
      <c r="C812" s="20"/>
      <c r="F812" s="20"/>
    </row>
    <row r="813">
      <c r="B813" s="20"/>
      <c r="C813" s="20"/>
      <c r="F813" s="20"/>
    </row>
    <row r="814">
      <c r="B814" s="20"/>
      <c r="C814" s="20"/>
      <c r="F814" s="20"/>
    </row>
    <row r="815">
      <c r="B815" s="20"/>
      <c r="C815" s="20"/>
      <c r="F815" s="20"/>
    </row>
    <row r="816">
      <c r="B816" s="20"/>
      <c r="C816" s="20"/>
      <c r="F816" s="20"/>
    </row>
    <row r="817">
      <c r="B817" s="20"/>
      <c r="C817" s="20"/>
      <c r="F817" s="20"/>
    </row>
    <row r="818">
      <c r="B818" s="20"/>
      <c r="C818" s="20"/>
      <c r="F818" s="20"/>
    </row>
    <row r="819">
      <c r="B819" s="20"/>
      <c r="C819" s="20"/>
      <c r="F819" s="20"/>
    </row>
    <row r="820">
      <c r="B820" s="20"/>
      <c r="C820" s="20"/>
      <c r="F820" s="20"/>
    </row>
    <row r="821">
      <c r="B821" s="20"/>
      <c r="C821" s="20"/>
      <c r="F821" s="20"/>
    </row>
    <row r="822">
      <c r="B822" s="20"/>
      <c r="C822" s="20"/>
      <c r="F822" s="20"/>
    </row>
    <row r="823">
      <c r="B823" s="20"/>
      <c r="C823" s="20"/>
      <c r="F823" s="20"/>
    </row>
    <row r="824">
      <c r="B824" s="20"/>
      <c r="C824" s="20"/>
      <c r="F824" s="20"/>
    </row>
    <row r="825">
      <c r="B825" s="20"/>
      <c r="C825" s="20"/>
      <c r="F825" s="20"/>
    </row>
    <row r="826">
      <c r="B826" s="20"/>
      <c r="C826" s="20"/>
      <c r="F826" s="20"/>
    </row>
    <row r="827">
      <c r="B827" s="20"/>
      <c r="C827" s="20"/>
      <c r="F827" s="20"/>
    </row>
    <row r="828">
      <c r="B828" s="20"/>
      <c r="C828" s="20"/>
      <c r="F828" s="20"/>
    </row>
    <row r="829">
      <c r="B829" s="20"/>
      <c r="C829" s="20"/>
      <c r="F829" s="20"/>
    </row>
    <row r="830">
      <c r="B830" s="20"/>
      <c r="C830" s="20"/>
      <c r="F830" s="20"/>
    </row>
    <row r="831">
      <c r="B831" s="20"/>
      <c r="C831" s="20"/>
      <c r="F831" s="20"/>
    </row>
    <row r="832">
      <c r="B832" s="20"/>
      <c r="C832" s="20"/>
      <c r="F832" s="20"/>
    </row>
    <row r="833">
      <c r="B833" s="20"/>
      <c r="C833" s="20"/>
      <c r="F833" s="20"/>
    </row>
    <row r="834">
      <c r="B834" s="20"/>
      <c r="C834" s="20"/>
      <c r="F834" s="20"/>
    </row>
    <row r="835">
      <c r="B835" s="20"/>
      <c r="C835" s="20"/>
      <c r="F835" s="20"/>
    </row>
    <row r="836">
      <c r="B836" s="20"/>
      <c r="C836" s="20"/>
      <c r="F836" s="20"/>
    </row>
    <row r="837">
      <c r="B837" s="20"/>
      <c r="C837" s="20"/>
      <c r="F837" s="20"/>
    </row>
    <row r="838">
      <c r="B838" s="20"/>
      <c r="C838" s="20"/>
      <c r="F838" s="20"/>
    </row>
    <row r="839">
      <c r="B839" s="20"/>
      <c r="C839" s="20"/>
      <c r="F839" s="20"/>
    </row>
    <row r="840">
      <c r="B840" s="20"/>
      <c r="C840" s="20"/>
      <c r="F840" s="20"/>
    </row>
    <row r="841">
      <c r="B841" s="20"/>
      <c r="C841" s="20"/>
      <c r="F841" s="20"/>
    </row>
    <row r="842">
      <c r="B842" s="20"/>
      <c r="C842" s="20"/>
      <c r="F842" s="20"/>
    </row>
    <row r="843">
      <c r="B843" s="20"/>
      <c r="C843" s="20"/>
      <c r="F843" s="20"/>
    </row>
    <row r="844">
      <c r="B844" s="20"/>
      <c r="C844" s="20"/>
      <c r="F844" s="20"/>
    </row>
    <row r="845">
      <c r="B845" s="20"/>
      <c r="C845" s="20"/>
      <c r="F845" s="20"/>
    </row>
    <row r="846">
      <c r="B846" s="20"/>
      <c r="C846" s="20"/>
      <c r="F846" s="20"/>
    </row>
    <row r="847">
      <c r="B847" s="20"/>
      <c r="C847" s="20"/>
      <c r="F847" s="20"/>
    </row>
    <row r="848">
      <c r="B848" s="20"/>
      <c r="C848" s="20"/>
      <c r="F848" s="20"/>
    </row>
    <row r="849">
      <c r="B849" s="20"/>
      <c r="C849" s="20"/>
      <c r="F849" s="20"/>
    </row>
    <row r="850">
      <c r="B850" s="20"/>
      <c r="C850" s="20"/>
      <c r="F850" s="20"/>
    </row>
    <row r="851">
      <c r="B851" s="20"/>
      <c r="C851" s="20"/>
      <c r="F851" s="20"/>
    </row>
    <row r="852">
      <c r="B852" s="20"/>
      <c r="C852" s="20"/>
      <c r="F852" s="20"/>
    </row>
    <row r="853">
      <c r="B853" s="20"/>
      <c r="C853" s="20"/>
      <c r="F853" s="20"/>
    </row>
    <row r="854">
      <c r="B854" s="20"/>
      <c r="C854" s="20"/>
      <c r="F854" s="20"/>
    </row>
    <row r="855">
      <c r="B855" s="20"/>
      <c r="C855" s="20"/>
      <c r="F855" s="20"/>
    </row>
    <row r="856">
      <c r="B856" s="20"/>
      <c r="C856" s="20"/>
      <c r="F856" s="20"/>
    </row>
    <row r="857">
      <c r="B857" s="20"/>
      <c r="C857" s="20"/>
      <c r="F857" s="20"/>
    </row>
    <row r="858">
      <c r="B858" s="20"/>
      <c r="C858" s="20"/>
      <c r="F858" s="20"/>
    </row>
    <row r="859">
      <c r="B859" s="20"/>
      <c r="C859" s="20"/>
      <c r="F859" s="20"/>
    </row>
    <row r="860">
      <c r="B860" s="20"/>
      <c r="C860" s="20"/>
      <c r="F860" s="20"/>
    </row>
    <row r="861">
      <c r="B861" s="20"/>
      <c r="C861" s="20"/>
      <c r="F861" s="20"/>
    </row>
    <row r="862">
      <c r="B862" s="20"/>
      <c r="C862" s="20"/>
      <c r="F862" s="20"/>
    </row>
    <row r="863">
      <c r="B863" s="20"/>
      <c r="C863" s="20"/>
      <c r="F863" s="20"/>
    </row>
    <row r="864">
      <c r="B864" s="20"/>
      <c r="C864" s="20"/>
      <c r="F864" s="20"/>
    </row>
    <row r="865">
      <c r="B865" s="20"/>
      <c r="C865" s="20"/>
      <c r="F865" s="20"/>
    </row>
    <row r="866">
      <c r="B866" s="20"/>
      <c r="C866" s="20"/>
      <c r="F866" s="20"/>
    </row>
    <row r="867">
      <c r="B867" s="20"/>
      <c r="C867" s="20"/>
      <c r="F867" s="20"/>
    </row>
    <row r="868">
      <c r="B868" s="20"/>
      <c r="C868" s="20"/>
      <c r="F868" s="20"/>
    </row>
    <row r="869">
      <c r="B869" s="20"/>
      <c r="C869" s="20"/>
      <c r="F869" s="20"/>
    </row>
    <row r="870">
      <c r="B870" s="20"/>
      <c r="C870" s="20"/>
      <c r="F870" s="20"/>
    </row>
    <row r="871">
      <c r="B871" s="20"/>
      <c r="C871" s="20"/>
      <c r="F871" s="20"/>
    </row>
    <row r="872">
      <c r="B872" s="20"/>
      <c r="C872" s="20"/>
      <c r="F872" s="20"/>
    </row>
    <row r="873">
      <c r="B873" s="20"/>
      <c r="C873" s="20"/>
      <c r="F873" s="20"/>
    </row>
    <row r="874">
      <c r="B874" s="20"/>
      <c r="C874" s="20"/>
      <c r="F874" s="20"/>
    </row>
    <row r="875">
      <c r="B875" s="20"/>
      <c r="C875" s="20"/>
      <c r="F875" s="20"/>
    </row>
    <row r="876">
      <c r="B876" s="20"/>
      <c r="C876" s="20"/>
      <c r="F876" s="20"/>
    </row>
    <row r="877">
      <c r="B877" s="20"/>
      <c r="C877" s="20"/>
      <c r="F877" s="20"/>
    </row>
    <row r="878">
      <c r="B878" s="20"/>
      <c r="C878" s="20"/>
      <c r="F878" s="20"/>
    </row>
    <row r="879">
      <c r="B879" s="20"/>
      <c r="C879" s="20"/>
      <c r="F879" s="20"/>
    </row>
    <row r="880">
      <c r="B880" s="20"/>
      <c r="C880" s="20"/>
      <c r="F880" s="20"/>
    </row>
    <row r="881">
      <c r="B881" s="20"/>
      <c r="C881" s="20"/>
      <c r="F881" s="20"/>
    </row>
    <row r="882">
      <c r="B882" s="20"/>
      <c r="C882" s="20"/>
      <c r="F882" s="20"/>
    </row>
    <row r="883">
      <c r="B883" s="20"/>
      <c r="C883" s="20"/>
      <c r="F883" s="20"/>
    </row>
    <row r="884">
      <c r="B884" s="20"/>
      <c r="C884" s="20"/>
      <c r="F884" s="20"/>
    </row>
    <row r="885">
      <c r="B885" s="20"/>
      <c r="C885" s="20"/>
      <c r="F885" s="20"/>
    </row>
    <row r="886">
      <c r="B886" s="20"/>
      <c r="C886" s="20"/>
      <c r="F886" s="20"/>
    </row>
    <row r="887">
      <c r="B887" s="20"/>
      <c r="C887" s="20"/>
      <c r="F887" s="20"/>
    </row>
    <row r="888">
      <c r="B888" s="20"/>
      <c r="C888" s="20"/>
      <c r="F888" s="20"/>
    </row>
    <row r="889">
      <c r="B889" s="20"/>
      <c r="C889" s="20"/>
      <c r="F889" s="20"/>
    </row>
    <row r="890">
      <c r="B890" s="20"/>
      <c r="C890" s="20"/>
      <c r="F890" s="20"/>
    </row>
    <row r="891">
      <c r="B891" s="20"/>
      <c r="C891" s="20"/>
      <c r="F891" s="20"/>
    </row>
    <row r="892">
      <c r="B892" s="20"/>
      <c r="C892" s="20"/>
      <c r="F892" s="20"/>
    </row>
    <row r="893">
      <c r="B893" s="20"/>
      <c r="C893" s="20"/>
      <c r="F893" s="20"/>
    </row>
    <row r="894">
      <c r="B894" s="20"/>
      <c r="C894" s="20"/>
      <c r="F894" s="20"/>
    </row>
    <row r="895">
      <c r="B895" s="20"/>
      <c r="C895" s="20"/>
      <c r="F895" s="20"/>
    </row>
    <row r="896">
      <c r="B896" s="20"/>
      <c r="C896" s="20"/>
      <c r="F896" s="20"/>
    </row>
    <row r="897">
      <c r="B897" s="20"/>
      <c r="C897" s="20"/>
      <c r="F897" s="20"/>
    </row>
    <row r="898">
      <c r="B898" s="20"/>
      <c r="C898" s="20"/>
      <c r="F898" s="20"/>
    </row>
    <row r="899">
      <c r="B899" s="20"/>
      <c r="C899" s="20"/>
      <c r="F899" s="20"/>
    </row>
    <row r="900">
      <c r="B900" s="20"/>
      <c r="C900" s="20"/>
      <c r="F900" s="20"/>
    </row>
    <row r="901">
      <c r="B901" s="20"/>
      <c r="C901" s="20"/>
      <c r="F901" s="20"/>
    </row>
    <row r="902">
      <c r="B902" s="20"/>
      <c r="C902" s="20"/>
      <c r="F902" s="20"/>
    </row>
    <row r="903">
      <c r="B903" s="20"/>
      <c r="C903" s="20"/>
      <c r="F903" s="20"/>
    </row>
    <row r="904">
      <c r="B904" s="20"/>
      <c r="C904" s="20"/>
      <c r="F904" s="20"/>
    </row>
    <row r="905">
      <c r="B905" s="20"/>
      <c r="C905" s="20"/>
      <c r="F905" s="20"/>
    </row>
    <row r="906">
      <c r="B906" s="20"/>
      <c r="C906" s="20"/>
      <c r="F906" s="20"/>
    </row>
    <row r="907">
      <c r="B907" s="20"/>
      <c r="C907" s="20"/>
      <c r="F907" s="20"/>
    </row>
    <row r="908">
      <c r="B908" s="20"/>
      <c r="C908" s="20"/>
      <c r="F908" s="20"/>
    </row>
    <row r="909">
      <c r="B909" s="20"/>
      <c r="C909" s="20"/>
      <c r="F909" s="20"/>
    </row>
    <row r="910">
      <c r="B910" s="20"/>
      <c r="C910" s="20"/>
      <c r="F910" s="20"/>
    </row>
    <row r="911">
      <c r="B911" s="20"/>
      <c r="C911" s="20"/>
      <c r="F911" s="20"/>
    </row>
    <row r="912">
      <c r="B912" s="20"/>
      <c r="C912" s="20"/>
      <c r="F912" s="20"/>
    </row>
    <row r="913">
      <c r="B913" s="20"/>
      <c r="C913" s="20"/>
      <c r="F913" s="20"/>
    </row>
    <row r="914">
      <c r="B914" s="20"/>
      <c r="C914" s="20"/>
      <c r="F914" s="20"/>
    </row>
    <row r="915">
      <c r="B915" s="20"/>
      <c r="C915" s="20"/>
      <c r="F915" s="20"/>
    </row>
    <row r="916">
      <c r="B916" s="20"/>
      <c r="C916" s="20"/>
      <c r="F916" s="20"/>
    </row>
    <row r="917">
      <c r="B917" s="20"/>
      <c r="C917" s="20"/>
      <c r="F917" s="20"/>
    </row>
    <row r="918">
      <c r="B918" s="20"/>
      <c r="C918" s="20"/>
      <c r="F918" s="20"/>
    </row>
    <row r="919">
      <c r="B919" s="20"/>
      <c r="C919" s="20"/>
      <c r="F919" s="20"/>
    </row>
    <row r="920">
      <c r="B920" s="20"/>
      <c r="C920" s="20"/>
      <c r="F920" s="20"/>
    </row>
    <row r="921">
      <c r="B921" s="20"/>
      <c r="C921" s="20"/>
      <c r="F921" s="20"/>
    </row>
    <row r="922">
      <c r="B922" s="20"/>
      <c r="C922" s="20"/>
      <c r="F922" s="20"/>
    </row>
    <row r="923">
      <c r="B923" s="20"/>
      <c r="C923" s="20"/>
      <c r="F923" s="20"/>
    </row>
    <row r="924">
      <c r="B924" s="20"/>
      <c r="C924" s="20"/>
      <c r="F924" s="20"/>
    </row>
    <row r="925">
      <c r="B925" s="20"/>
      <c r="C925" s="20"/>
      <c r="F925" s="20"/>
    </row>
    <row r="926">
      <c r="B926" s="20"/>
      <c r="C926" s="20"/>
      <c r="F926" s="20"/>
    </row>
    <row r="927">
      <c r="B927" s="20"/>
      <c r="C927" s="20"/>
      <c r="F927" s="20"/>
    </row>
    <row r="928">
      <c r="B928" s="20"/>
      <c r="C928" s="20"/>
      <c r="F928" s="20"/>
    </row>
    <row r="929">
      <c r="B929" s="20"/>
      <c r="C929" s="20"/>
      <c r="F929" s="20"/>
    </row>
    <row r="930">
      <c r="B930" s="20"/>
      <c r="C930" s="20"/>
      <c r="F930" s="20"/>
    </row>
    <row r="931">
      <c r="B931" s="20"/>
      <c r="C931" s="20"/>
      <c r="F931" s="20"/>
    </row>
    <row r="932">
      <c r="B932" s="20"/>
      <c r="C932" s="20"/>
      <c r="F932" s="20"/>
    </row>
    <row r="933">
      <c r="B933" s="20"/>
      <c r="C933" s="20"/>
      <c r="F933" s="20"/>
    </row>
    <row r="934">
      <c r="B934" s="20"/>
      <c r="C934" s="20"/>
      <c r="F934" s="20"/>
    </row>
    <row r="935">
      <c r="B935" s="20"/>
      <c r="C935" s="20"/>
      <c r="F935" s="20"/>
    </row>
    <row r="936">
      <c r="B936" s="20"/>
      <c r="C936" s="20"/>
      <c r="F936" s="20"/>
    </row>
    <row r="937">
      <c r="B937" s="20"/>
      <c r="C937" s="20"/>
      <c r="F937" s="20"/>
    </row>
    <row r="938">
      <c r="B938" s="20"/>
      <c r="C938" s="20"/>
      <c r="F938" s="20"/>
    </row>
    <row r="939">
      <c r="B939" s="20"/>
      <c r="C939" s="20"/>
      <c r="F939" s="20"/>
    </row>
    <row r="940">
      <c r="B940" s="20"/>
      <c r="C940" s="20"/>
      <c r="F940" s="20"/>
    </row>
    <row r="941">
      <c r="B941" s="20"/>
      <c r="C941" s="20"/>
      <c r="F941" s="20"/>
    </row>
    <row r="942">
      <c r="B942" s="20"/>
      <c r="C942" s="20"/>
      <c r="F942" s="20"/>
    </row>
    <row r="943">
      <c r="B943" s="20"/>
      <c r="C943" s="20"/>
      <c r="F943" s="20"/>
    </row>
    <row r="944">
      <c r="B944" s="20"/>
      <c r="C944" s="20"/>
      <c r="F944" s="20"/>
    </row>
    <row r="945">
      <c r="B945" s="20"/>
      <c r="C945" s="20"/>
      <c r="F945" s="20"/>
    </row>
    <row r="946">
      <c r="B946" s="20"/>
      <c r="C946" s="20"/>
      <c r="F946" s="20"/>
    </row>
    <row r="947">
      <c r="B947" s="20"/>
      <c r="C947" s="20"/>
      <c r="F947" s="20"/>
    </row>
    <row r="948">
      <c r="B948" s="20"/>
      <c r="C948" s="20"/>
      <c r="F948" s="20"/>
    </row>
    <row r="949">
      <c r="B949" s="20"/>
      <c r="C949" s="20"/>
      <c r="F949" s="20"/>
    </row>
    <row r="950">
      <c r="B950" s="20"/>
      <c r="C950" s="20"/>
      <c r="F950" s="20"/>
    </row>
    <row r="951">
      <c r="B951" s="20"/>
      <c r="C951" s="20"/>
      <c r="F951" s="20"/>
    </row>
    <row r="952">
      <c r="B952" s="20"/>
      <c r="C952" s="20"/>
      <c r="F952" s="20"/>
    </row>
    <row r="953">
      <c r="B953" s="20"/>
      <c r="C953" s="20"/>
      <c r="F953" s="20"/>
    </row>
    <row r="954">
      <c r="B954" s="20"/>
      <c r="C954" s="20"/>
      <c r="F954" s="20"/>
    </row>
    <row r="955">
      <c r="B955" s="20"/>
      <c r="C955" s="20"/>
      <c r="F955" s="20"/>
    </row>
    <row r="956">
      <c r="B956" s="20"/>
      <c r="C956" s="20"/>
      <c r="F956" s="20"/>
    </row>
    <row r="957">
      <c r="B957" s="20"/>
      <c r="C957" s="20"/>
      <c r="F957" s="20"/>
    </row>
    <row r="958">
      <c r="B958" s="20"/>
      <c r="C958" s="20"/>
      <c r="F958" s="20"/>
    </row>
    <row r="959">
      <c r="B959" s="20"/>
      <c r="C959" s="20"/>
      <c r="F959" s="20"/>
    </row>
    <row r="960">
      <c r="B960" s="20"/>
      <c r="C960" s="20"/>
      <c r="F960" s="20"/>
    </row>
    <row r="961">
      <c r="B961" s="20"/>
      <c r="C961" s="20"/>
      <c r="F961" s="20"/>
    </row>
    <row r="962">
      <c r="B962" s="20"/>
      <c r="C962" s="20"/>
      <c r="F962" s="20"/>
    </row>
    <row r="963">
      <c r="B963" s="20"/>
      <c r="C963" s="20"/>
      <c r="F963" s="20"/>
    </row>
    <row r="964">
      <c r="B964" s="20"/>
      <c r="C964" s="20"/>
      <c r="F964" s="20"/>
    </row>
    <row r="965">
      <c r="B965" s="20"/>
      <c r="C965" s="20"/>
      <c r="F965" s="20"/>
    </row>
    <row r="966">
      <c r="B966" s="20"/>
      <c r="C966" s="20"/>
      <c r="F966" s="20"/>
    </row>
    <row r="967">
      <c r="B967" s="20"/>
      <c r="C967" s="20"/>
      <c r="F967" s="20"/>
    </row>
    <row r="968">
      <c r="B968" s="20"/>
      <c r="C968" s="20"/>
      <c r="F968" s="20"/>
    </row>
    <row r="969">
      <c r="B969" s="20"/>
      <c r="C969" s="20"/>
      <c r="F969" s="20"/>
    </row>
    <row r="970">
      <c r="B970" s="20"/>
      <c r="C970" s="20"/>
      <c r="F970" s="20"/>
    </row>
    <row r="971">
      <c r="B971" s="20"/>
      <c r="C971" s="20"/>
      <c r="F971" s="20"/>
    </row>
    <row r="972">
      <c r="B972" s="20"/>
      <c r="C972" s="20"/>
      <c r="F972" s="20"/>
    </row>
    <row r="973">
      <c r="B973" s="20"/>
      <c r="C973" s="20"/>
      <c r="F973" s="20"/>
    </row>
    <row r="974">
      <c r="B974" s="20"/>
      <c r="C974" s="20"/>
      <c r="F974" s="20"/>
    </row>
    <row r="975">
      <c r="B975" s="20"/>
      <c r="C975" s="20"/>
      <c r="F975" s="20"/>
    </row>
    <row r="976">
      <c r="B976" s="20"/>
      <c r="C976" s="20"/>
      <c r="F976" s="20"/>
    </row>
    <row r="977">
      <c r="B977" s="20"/>
      <c r="C977" s="20"/>
      <c r="F977" s="20"/>
    </row>
    <row r="978">
      <c r="B978" s="20"/>
      <c r="C978" s="20"/>
      <c r="F978" s="20"/>
    </row>
    <row r="979">
      <c r="B979" s="20"/>
      <c r="C979" s="20"/>
      <c r="F979" s="20"/>
    </row>
    <row r="980">
      <c r="B980" s="20"/>
      <c r="C980" s="20"/>
      <c r="F980" s="20"/>
    </row>
    <row r="981">
      <c r="B981" s="20"/>
      <c r="C981" s="20"/>
      <c r="F981" s="20"/>
    </row>
    <row r="982">
      <c r="B982" s="20"/>
      <c r="C982" s="20"/>
      <c r="F982" s="20"/>
    </row>
    <row r="983">
      <c r="B983" s="20"/>
      <c r="C983" s="20"/>
      <c r="F983" s="20"/>
    </row>
    <row r="984">
      <c r="B984" s="20"/>
      <c r="C984" s="20"/>
      <c r="F984" s="20"/>
    </row>
    <row r="985">
      <c r="B985" s="20"/>
      <c r="C985" s="20"/>
      <c r="F985" s="20"/>
    </row>
    <row r="986">
      <c r="B986" s="20"/>
      <c r="C986" s="20"/>
      <c r="F986" s="20"/>
    </row>
    <row r="987">
      <c r="B987" s="20"/>
      <c r="C987" s="20"/>
      <c r="F987" s="20"/>
    </row>
    <row r="988">
      <c r="B988" s="20"/>
      <c r="C988" s="20"/>
      <c r="F988" s="20"/>
    </row>
    <row r="989">
      <c r="B989" s="20"/>
      <c r="C989" s="20"/>
      <c r="F989" s="20"/>
    </row>
    <row r="990">
      <c r="B990" s="20"/>
      <c r="C990" s="20"/>
      <c r="F990" s="20"/>
    </row>
    <row r="991">
      <c r="B991" s="20"/>
      <c r="C991" s="20"/>
      <c r="F991" s="20"/>
    </row>
    <row r="992">
      <c r="B992" s="20"/>
      <c r="C992" s="20"/>
      <c r="F992" s="20"/>
    </row>
    <row r="993">
      <c r="B993" s="20"/>
      <c r="C993" s="20"/>
      <c r="F993" s="20"/>
    </row>
    <row r="994">
      <c r="B994" s="20"/>
      <c r="C994" s="20"/>
      <c r="F994" s="20"/>
    </row>
    <row r="995">
      <c r="B995" s="20"/>
      <c r="C995" s="20"/>
      <c r="F995" s="20"/>
    </row>
    <row r="996">
      <c r="B996" s="20"/>
      <c r="C996" s="20"/>
      <c r="F996" s="20"/>
    </row>
    <row r="997">
      <c r="B997" s="20"/>
      <c r="C997" s="20"/>
      <c r="F997" s="20"/>
    </row>
    <row r="998">
      <c r="B998" s="20"/>
      <c r="C998" s="20"/>
      <c r="F998" s="20"/>
    </row>
    <row r="999">
      <c r="B999" s="20"/>
      <c r="C999" s="20"/>
      <c r="F999" s="20"/>
    </row>
    <row r="1000">
      <c r="B1000" s="20"/>
      <c r="C1000" s="20"/>
      <c r="F1000" s="20"/>
    </row>
    <row r="1001">
      <c r="B1001" s="20"/>
      <c r="C1001" s="20"/>
      <c r="F1001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190</v>
      </c>
      <c r="B1" s="20"/>
    </row>
    <row r="2">
      <c r="A2" s="22">
        <v>45943.0</v>
      </c>
      <c r="B2" s="19" t="s">
        <v>191</v>
      </c>
      <c r="C2" s="16" t="s">
        <v>192</v>
      </c>
      <c r="D2" s="16" t="s">
        <v>199</v>
      </c>
    </row>
    <row r="3">
      <c r="A3" s="16" t="s">
        <v>193</v>
      </c>
      <c r="B3" s="30">
        <v>1348.85</v>
      </c>
      <c r="C3" s="16">
        <v>1486.83</v>
      </c>
      <c r="D3" s="31">
        <f t="shared" ref="D3:D4" si="1">(B3+C3)/2</f>
        <v>1417.84</v>
      </c>
    </row>
    <row r="4">
      <c r="A4" s="16" t="s">
        <v>200</v>
      </c>
      <c r="B4" s="16">
        <v>95.845</v>
      </c>
      <c r="C4" s="16">
        <v>110.015</v>
      </c>
      <c r="D4" s="14">
        <f t="shared" si="1"/>
        <v>102.93</v>
      </c>
    </row>
    <row r="5">
      <c r="A5" s="16" t="s">
        <v>201</v>
      </c>
      <c r="B5" s="31">
        <f>D4/D3*100</f>
        <v>7.259634373</v>
      </c>
    </row>
    <row r="6">
      <c r="A6" s="16" t="s">
        <v>202</v>
      </c>
      <c r="B6" s="31">
        <f>D4/B5*100</f>
        <v>1417.84</v>
      </c>
    </row>
    <row r="8">
      <c r="A8" s="16" t="s">
        <v>203</v>
      </c>
      <c r="B8" s="20"/>
    </row>
    <row r="9">
      <c r="A9" s="22">
        <v>45943.0</v>
      </c>
      <c r="B9" s="19" t="s">
        <v>191</v>
      </c>
      <c r="C9" s="16" t="s">
        <v>192</v>
      </c>
      <c r="D9" s="16" t="s">
        <v>199</v>
      </c>
    </row>
    <row r="10">
      <c r="A10" s="16" t="s">
        <v>193</v>
      </c>
      <c r="B10" s="30">
        <v>895.05</v>
      </c>
      <c r="C10" s="16">
        <v>1025.57</v>
      </c>
      <c r="D10" s="31">
        <f t="shared" ref="D10:D11" si="2">(B10+C10)/2</f>
        <v>960.31</v>
      </c>
    </row>
    <row r="11">
      <c r="A11" s="16" t="s">
        <v>200</v>
      </c>
      <c r="B11" s="16">
        <v>62.94</v>
      </c>
      <c r="C11" s="16">
        <v>71.15</v>
      </c>
      <c r="D11" s="14">
        <f t="shared" si="2"/>
        <v>67.045</v>
      </c>
    </row>
    <row r="12">
      <c r="A12" s="16" t="s">
        <v>201</v>
      </c>
      <c r="B12" s="31">
        <f>D11/D10*100</f>
        <v>6.981599692</v>
      </c>
    </row>
    <row r="13">
      <c r="A13" s="16" t="s">
        <v>202</v>
      </c>
      <c r="B13" s="31">
        <f>D11/B12*100</f>
        <v>960.31</v>
      </c>
    </row>
    <row r="15">
      <c r="A15" s="16" t="s">
        <v>190</v>
      </c>
      <c r="B15" s="20"/>
    </row>
    <row r="16">
      <c r="A16" s="22">
        <v>45978.0</v>
      </c>
      <c r="B16" s="19" t="s">
        <v>191</v>
      </c>
      <c r="C16" s="16" t="s">
        <v>192</v>
      </c>
      <c r="D16" s="16" t="s">
        <v>199</v>
      </c>
    </row>
    <row r="17">
      <c r="A17" s="16" t="s">
        <v>193</v>
      </c>
      <c r="B17" s="30">
        <v>1372.59</v>
      </c>
      <c r="C17" s="16">
        <v>1475.18</v>
      </c>
      <c r="D17" s="31">
        <f t="shared" ref="D17:D18" si="3">(B17+C17)/2</f>
        <v>1423.885</v>
      </c>
    </row>
    <row r="18">
      <c r="A18" s="16" t="s">
        <v>200</v>
      </c>
      <c r="B18" s="16">
        <v>96.218</v>
      </c>
      <c r="C18" s="16">
        <v>100.36</v>
      </c>
      <c r="D18" s="14">
        <f t="shared" si="3"/>
        <v>98.289</v>
      </c>
      <c r="E18" s="16" t="s">
        <v>204</v>
      </c>
    </row>
    <row r="19">
      <c r="A19" s="16" t="s">
        <v>201</v>
      </c>
      <c r="B19" s="31">
        <f>D18/D17*100</f>
        <v>6.902874881</v>
      </c>
    </row>
    <row r="20">
      <c r="A20" s="16" t="s">
        <v>202</v>
      </c>
      <c r="B20" s="31">
        <f>D18/B19*100</f>
        <v>1423.885</v>
      </c>
    </row>
    <row r="22">
      <c r="A22" s="16" t="s">
        <v>203</v>
      </c>
      <c r="B22" s="20"/>
    </row>
    <row r="23">
      <c r="A23" s="22">
        <v>45978.0</v>
      </c>
      <c r="B23" s="19" t="s">
        <v>191</v>
      </c>
      <c r="C23" s="16" t="s">
        <v>192</v>
      </c>
      <c r="D23" s="16" t="s">
        <v>199</v>
      </c>
    </row>
    <row r="24">
      <c r="A24" s="16" t="s">
        <v>193</v>
      </c>
      <c r="B24" s="30">
        <v>924.48</v>
      </c>
      <c r="C24" s="16">
        <v>956.17</v>
      </c>
      <c r="D24" s="31">
        <f t="shared" ref="D24:D25" si="4">(B24+C24)/2</f>
        <v>940.325</v>
      </c>
    </row>
    <row r="25">
      <c r="A25" s="16" t="s">
        <v>205</v>
      </c>
      <c r="B25" s="16">
        <v>5781.31</v>
      </c>
      <c r="C25" s="16">
        <v>7577.79</v>
      </c>
      <c r="D25" s="14">
        <f t="shared" si="4"/>
        <v>6679.55</v>
      </c>
    </row>
    <row r="26">
      <c r="A26" s="16" t="s">
        <v>201</v>
      </c>
      <c r="B26" s="31">
        <f>D25/D24*100</f>
        <v>710.3448276</v>
      </c>
    </row>
    <row r="27">
      <c r="A27" s="16" t="s">
        <v>202</v>
      </c>
      <c r="B27" s="31">
        <f>D25/B26*100</f>
        <v>940.325</v>
      </c>
    </row>
  </sheetData>
  <drawing r:id="rId1"/>
</worksheet>
</file>